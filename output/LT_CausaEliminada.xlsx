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3C0C285-4454-44C8-876B-7896C2BC16B2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Introduction" sheetId="2" state="hidden" r:id="rId1"/>
    <sheet name="Coefficients" sheetId="1" state="hidden" r:id="rId2"/>
    <sheet name="Model LTs" sheetId="4" state="hidden" r:id="rId3"/>
    <sheet name="Decrementos Múltiples San Luis " sheetId="14" r:id="rId4"/>
    <sheet name="lt_sl" sheetId="17" r:id="rId5"/>
    <sheet name="def_sl" sheetId="20" r:id="rId6"/>
    <sheet name="def_pro_homicidios_sl" sheetId="18" r:id="rId7"/>
  </sheets>
  <externalReferences>
    <externalReference r:id="rId8"/>
  </externalReferences>
  <definedNames>
    <definedName name="Coeffs_111">Coefficients!$C$6</definedName>
    <definedName name="Coeffs_112">Coefficients!$N$6</definedName>
    <definedName name="Coeffs_113">Coefficients!$Y$6</definedName>
    <definedName name="Coeffs_121">Coefficients!$C$17</definedName>
    <definedName name="Coeffs_122">Coefficients!$N$17</definedName>
    <definedName name="Coeffs_123">Coefficients!$Y$17</definedName>
    <definedName name="Coeffs_131">Coefficients!$C$28</definedName>
    <definedName name="Coeffs_132">Coefficients!$N$28</definedName>
    <definedName name="Coeffs_133">Coefficients!$Y$28</definedName>
    <definedName name="Coeffs_141">Coefficients!$C$39</definedName>
    <definedName name="Coeffs_142">Coefficients!$N$39</definedName>
    <definedName name="Coeffs_143">Coefficients!$Y$39</definedName>
    <definedName name="Coeffs_211">Coefficients!$C$50</definedName>
    <definedName name="Coeffs_221">Coefficients!$C$61</definedName>
    <definedName name="Coeffs_231">Coefficients!$C$72</definedName>
    <definedName name="Coeffs_241">Coefficients!$C$83</definedName>
    <definedName name="Coeffs_251">Coefficients!$C$94</definedName>
    <definedName name="DatosExternos_1" localSheetId="6" hidden="1">def_pro_homicidios_sl!$A$1:$D$955</definedName>
    <definedName name="DatosExternos_1" localSheetId="4" hidden="1">lt_sl!$A$1:$K$115</definedName>
    <definedName name="DatosExternos_2" localSheetId="5" hidden="1">def_sl!$A$1:$D$153</definedName>
    <definedName name="Family">Coefficients!$AI$9:$AI$10</definedName>
    <definedName name="FamSelect">Coefficients!$AJ$8</definedName>
    <definedName name="Princeton">Coefficients!$AI$13:$AI$16</definedName>
    <definedName name="Sex">Coefficients!$AI$29:$AI$31</definedName>
    <definedName name="TypeSelect">Coefficients!$AJ$23</definedName>
    <definedName name="UN">Coefficients!$AI$17:$AI$21</definedName>
    <definedName name="Variant">Coefficients!$AI$24:$AI$26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4" l="1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K27" i="14"/>
  <c r="AB28" i="14" s="1"/>
  <c r="K28" i="14"/>
  <c r="K29" i="14"/>
  <c r="K30" i="14"/>
  <c r="K31" i="14"/>
  <c r="K32" i="14"/>
  <c r="V32" i="14"/>
  <c r="K33" i="14"/>
  <c r="L33" i="14"/>
  <c r="M33" i="14" s="1"/>
  <c r="K34" i="14"/>
  <c r="L34" i="14"/>
  <c r="M34" i="14" s="1"/>
  <c r="K35" i="14"/>
  <c r="K36" i="14"/>
  <c r="K37" i="14"/>
  <c r="K38" i="14"/>
  <c r="K39" i="14"/>
  <c r="K40" i="14"/>
  <c r="L40" i="14"/>
  <c r="M40" i="14" s="1"/>
  <c r="K41" i="14"/>
  <c r="L41" i="14"/>
  <c r="M41" i="14" s="1"/>
  <c r="K42" i="14"/>
  <c r="L42" i="14"/>
  <c r="M42" i="14" s="1"/>
  <c r="K43" i="14"/>
  <c r="K44" i="14"/>
  <c r="K45" i="14"/>
  <c r="P45" i="14"/>
  <c r="H28" i="14"/>
  <c r="L28" i="14" s="1"/>
  <c r="M28" i="14" s="1"/>
  <c r="H29" i="14"/>
  <c r="L29" i="14" s="1"/>
  <c r="M29" i="14" s="1"/>
  <c r="H30" i="14"/>
  <c r="L30" i="14" s="1"/>
  <c r="M30" i="14" s="1"/>
  <c r="H31" i="14"/>
  <c r="I31" i="14" s="1"/>
  <c r="H32" i="14"/>
  <c r="I32" i="14" s="1"/>
  <c r="H33" i="14"/>
  <c r="I33" i="14" s="1"/>
  <c r="H34" i="14"/>
  <c r="H35" i="14"/>
  <c r="I35" i="14" s="1"/>
  <c r="H36" i="14"/>
  <c r="L36" i="14" s="1"/>
  <c r="M36" i="14" s="1"/>
  <c r="H37" i="14"/>
  <c r="L37" i="14" s="1"/>
  <c r="M37" i="14" s="1"/>
  <c r="H38" i="14"/>
  <c r="L38" i="14" s="1"/>
  <c r="M38" i="14" s="1"/>
  <c r="H39" i="14"/>
  <c r="L39" i="14" s="1"/>
  <c r="M39" i="14" s="1"/>
  <c r="H40" i="14"/>
  <c r="I40" i="14" s="1"/>
  <c r="H41" i="14"/>
  <c r="H42" i="14"/>
  <c r="H43" i="14"/>
  <c r="I43" i="14" s="1"/>
  <c r="H44" i="14"/>
  <c r="L44" i="14" s="1"/>
  <c r="M44" i="14" s="1"/>
  <c r="H45" i="14"/>
  <c r="I45" i="14" s="1"/>
  <c r="H27" i="14"/>
  <c r="L27" i="14" s="1"/>
  <c r="H5" i="14"/>
  <c r="I5" i="14" s="1"/>
  <c r="H6" i="14"/>
  <c r="I6" i="14" s="1"/>
  <c r="H7" i="14"/>
  <c r="H8" i="14"/>
  <c r="I8" i="14" s="1"/>
  <c r="H9" i="14"/>
  <c r="H10" i="14"/>
  <c r="H11" i="14"/>
  <c r="H12" i="14"/>
  <c r="H13" i="14"/>
  <c r="I13" i="14" s="1"/>
  <c r="H14" i="14"/>
  <c r="H15" i="14"/>
  <c r="I15" i="14" s="1"/>
  <c r="H16" i="14"/>
  <c r="H17" i="14"/>
  <c r="H18" i="14"/>
  <c r="H19" i="14"/>
  <c r="H20" i="14"/>
  <c r="H21" i="14"/>
  <c r="H22" i="14"/>
  <c r="H4" i="14"/>
  <c r="I4" i="14" s="1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D27" i="14"/>
  <c r="D28" i="14"/>
  <c r="F28" i="14" s="1"/>
  <c r="D29" i="14"/>
  <c r="F29" i="14" s="1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F44" i="14" s="1"/>
  <c r="D45" i="14"/>
  <c r="E27" i="14"/>
  <c r="E28" i="14"/>
  <c r="E30" i="14"/>
  <c r="E31" i="14"/>
  <c r="E32" i="14"/>
  <c r="F32" i="14" s="1"/>
  <c r="E33" i="14"/>
  <c r="E34" i="14"/>
  <c r="E35" i="14"/>
  <c r="E36" i="14"/>
  <c r="E37" i="14"/>
  <c r="E38" i="14"/>
  <c r="E39" i="14"/>
  <c r="E40" i="14"/>
  <c r="F40" i="14" s="1"/>
  <c r="E41" i="14"/>
  <c r="E42" i="14"/>
  <c r="E43" i="14"/>
  <c r="E44" i="14"/>
  <c r="E45" i="14"/>
  <c r="K4" i="14"/>
  <c r="AA28" i="14" s="1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E4" i="14"/>
  <c r="E5" i="14"/>
  <c r="F5" i="14"/>
  <c r="E7" i="14"/>
  <c r="E8" i="14"/>
  <c r="E9" i="14"/>
  <c r="E10" i="14"/>
  <c r="F10" i="14" s="1"/>
  <c r="E11" i="14"/>
  <c r="E12" i="14"/>
  <c r="E13" i="14"/>
  <c r="E14" i="14"/>
  <c r="E15" i="14"/>
  <c r="E16" i="14"/>
  <c r="E17" i="14"/>
  <c r="E18" i="14"/>
  <c r="F18" i="14" s="1"/>
  <c r="L18" i="14" s="1"/>
  <c r="M18" i="14" s="1"/>
  <c r="E19" i="14"/>
  <c r="E20" i="14"/>
  <c r="E21" i="14"/>
  <c r="E22" i="14"/>
  <c r="D4" i="14"/>
  <c r="D5" i="14"/>
  <c r="D6" i="14"/>
  <c r="F6" i="14" s="1"/>
  <c r="D7" i="14"/>
  <c r="D8" i="14"/>
  <c r="F8" i="14" s="1"/>
  <c r="D9" i="14"/>
  <c r="F9" i="14" s="1"/>
  <c r="D10" i="14"/>
  <c r="D11" i="14"/>
  <c r="D12" i="14"/>
  <c r="D13" i="14"/>
  <c r="D14" i="14"/>
  <c r="D15" i="14"/>
  <c r="F15" i="14" s="1"/>
  <c r="D16" i="14"/>
  <c r="D17" i="14"/>
  <c r="F17" i="14" s="1"/>
  <c r="D18" i="14"/>
  <c r="D19" i="14"/>
  <c r="D20" i="14"/>
  <c r="D21" i="14"/>
  <c r="D22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I44" i="14"/>
  <c r="P44" i="14" s="1"/>
  <c r="F43" i="14"/>
  <c r="F39" i="14"/>
  <c r="I38" i="14"/>
  <c r="F38" i="14"/>
  <c r="I36" i="14"/>
  <c r="F35" i="14"/>
  <c r="F31" i="14"/>
  <c r="I30" i="14"/>
  <c r="F30" i="14"/>
  <c r="I29" i="14"/>
  <c r="I28" i="14"/>
  <c r="I27" i="14"/>
  <c r="F27" i="14"/>
  <c r="I18" i="14"/>
  <c r="I17" i="14"/>
  <c r="I16" i="14"/>
  <c r="I10" i="14"/>
  <c r="V9" i="14"/>
  <c r="N28" i="14" l="1"/>
  <c r="M27" i="14"/>
  <c r="O27" i="14" s="1"/>
  <c r="I37" i="14"/>
  <c r="L8" i="14"/>
  <c r="M8" i="14" s="1"/>
  <c r="L31" i="14"/>
  <c r="M31" i="14" s="1"/>
  <c r="P29" i="14"/>
  <c r="L43" i="14"/>
  <c r="M43" i="14" s="1"/>
  <c r="L35" i="14"/>
  <c r="M35" i="14" s="1"/>
  <c r="P28" i="14"/>
  <c r="L45" i="14"/>
  <c r="M45" i="14" s="1"/>
  <c r="L32" i="14"/>
  <c r="M32" i="14" s="1"/>
  <c r="F16" i="14"/>
  <c r="L16" i="14" s="1"/>
  <c r="M16" i="14" s="1"/>
  <c r="F41" i="14"/>
  <c r="F33" i="14"/>
  <c r="F20" i="14"/>
  <c r="F12" i="14"/>
  <c r="L5" i="14"/>
  <c r="M5" i="14" s="1"/>
  <c r="P5" i="14" s="1"/>
  <c r="F13" i="14"/>
  <c r="L13" i="14" s="1"/>
  <c r="M13" i="14" s="1"/>
  <c r="L15" i="14"/>
  <c r="M15" i="14" s="1"/>
  <c r="F42" i="14"/>
  <c r="F34" i="14"/>
  <c r="F37" i="14"/>
  <c r="F45" i="14"/>
  <c r="F22" i="14"/>
  <c r="L22" i="14" s="1"/>
  <c r="M22" i="14" s="1"/>
  <c r="F21" i="14"/>
  <c r="L21" i="14" s="1"/>
  <c r="M21" i="14" s="1"/>
  <c r="F4" i="14"/>
  <c r="L4" i="14" s="1"/>
  <c r="N5" i="14" s="1"/>
  <c r="F14" i="14"/>
  <c r="F19" i="14"/>
  <c r="L19" i="14" s="1"/>
  <c r="M19" i="14" s="1"/>
  <c r="F11" i="14"/>
  <c r="L20" i="14"/>
  <c r="M20" i="14" s="1"/>
  <c r="L12" i="14"/>
  <c r="M12" i="14" s="1"/>
  <c r="F7" i="14"/>
  <c r="L7" i="14" s="1"/>
  <c r="M7" i="14" s="1"/>
  <c r="I7" i="14"/>
  <c r="I20" i="14"/>
  <c r="I19" i="14"/>
  <c r="L14" i="14"/>
  <c r="M14" i="14" s="1"/>
  <c r="I39" i="14"/>
  <c r="L10" i="14"/>
  <c r="M10" i="14" s="1"/>
  <c r="I21" i="14"/>
  <c r="I12" i="14"/>
  <c r="L9" i="14"/>
  <c r="M9" i="14" s="1"/>
  <c r="I9" i="14"/>
  <c r="L11" i="14"/>
  <c r="M11" i="14" s="1"/>
  <c r="L6" i="14"/>
  <c r="M6" i="14" s="1"/>
  <c r="P6" i="14" s="1"/>
  <c r="I11" i="14"/>
  <c r="L17" i="14"/>
  <c r="M17" i="14" s="1"/>
  <c r="F36" i="14"/>
  <c r="I41" i="14"/>
  <c r="I14" i="14"/>
  <c r="I22" i="14"/>
  <c r="I34" i="14"/>
  <c r="I42" i="14"/>
  <c r="AH5" i="1"/>
  <c r="AJ6" i="1"/>
  <c r="N29" i="14" l="1"/>
  <c r="O28" i="14"/>
  <c r="P27" i="14"/>
  <c r="Q27" i="14" s="1"/>
  <c r="P22" i="14"/>
  <c r="M4" i="14"/>
  <c r="O4" i="14" s="1"/>
  <c r="P21" i="14"/>
  <c r="O5" i="14"/>
  <c r="N6" i="14"/>
  <c r="P4" i="14"/>
  <c r="Q4" i="14" s="1"/>
  <c r="AJ28" i="1"/>
  <c r="N30" i="14" l="1"/>
  <c r="O29" i="14"/>
  <c r="Q28" i="14"/>
  <c r="N7" i="14"/>
  <c r="O6" i="14"/>
  <c r="Q5" i="14"/>
  <c r="AJ8" i="1"/>
  <c r="AJ23" i="1"/>
  <c r="O30" i="14" l="1"/>
  <c r="N31" i="14"/>
  <c r="Q29" i="14"/>
  <c r="N8" i="14"/>
  <c r="O7" i="14"/>
  <c r="Q6" i="14"/>
  <c r="AJ12" i="1"/>
  <c r="N32" i="14" l="1"/>
  <c r="O31" i="14"/>
  <c r="P30" i="14"/>
  <c r="Q30" i="14" s="1"/>
  <c r="O8" i="14"/>
  <c r="P7" i="14" s="1"/>
  <c r="Q7" i="14" s="1"/>
  <c r="N9" i="14"/>
  <c r="AN25" i="1"/>
  <c r="AN23" i="1"/>
  <c r="AN19" i="1"/>
  <c r="AN22" i="1"/>
  <c r="AN21" i="1"/>
  <c r="AN24" i="1"/>
  <c r="AN20" i="1"/>
  <c r="AN18" i="1"/>
  <c r="AJ33" i="1"/>
  <c r="AM5" i="1"/>
  <c r="C23" i="2" s="1"/>
  <c r="AR7" i="1"/>
  <c r="AP13" i="1"/>
  <c r="AT11" i="1"/>
  <c r="AT9" i="1"/>
  <c r="AO8" i="1"/>
  <c r="AO12" i="1"/>
  <c r="AS7" i="1"/>
  <c r="AO7" i="1"/>
  <c r="AN10" i="1"/>
  <c r="AM10" i="1"/>
  <c r="AS13" i="1"/>
  <c r="AS11" i="1"/>
  <c r="AV8" i="1"/>
  <c r="AT8" i="1"/>
  <c r="AO9" i="1"/>
  <c r="AP8" i="1"/>
  <c r="AN13" i="1"/>
  <c r="AV12" i="1"/>
  <c r="AS8" i="1"/>
  <c r="AM8" i="1"/>
  <c r="AV10" i="1"/>
  <c r="AP9" i="1"/>
  <c r="AS10" i="1"/>
  <c r="AM9" i="1"/>
  <c r="AV11" i="1"/>
  <c r="AR9" i="1"/>
  <c r="AS12" i="1"/>
  <c r="AV9" i="1"/>
  <c r="AP10" i="1"/>
  <c r="AT7" i="1"/>
  <c r="AO11" i="1"/>
  <c r="AP7" i="1"/>
  <c r="AN11" i="1"/>
  <c r="AO10" i="1"/>
  <c r="AR11" i="1"/>
  <c r="AM12" i="1"/>
  <c r="AR10" i="1"/>
  <c r="AV7" i="1"/>
  <c r="AM11" i="1"/>
  <c r="AP12" i="1"/>
  <c r="AN8" i="1"/>
  <c r="AS9" i="1"/>
  <c r="AN9" i="1"/>
  <c r="AM7" i="1"/>
  <c r="AR13" i="1"/>
  <c r="AR8" i="1"/>
  <c r="AT12" i="1"/>
  <c r="AV13" i="1"/>
  <c r="AO13" i="1"/>
  <c r="AN12" i="1"/>
  <c r="AR12" i="1"/>
  <c r="AN7" i="1"/>
  <c r="AT13" i="1"/>
  <c r="AP11" i="1"/>
  <c r="AT10" i="1"/>
  <c r="AM13" i="1"/>
  <c r="O32" i="14" l="1"/>
  <c r="P31" i="14" s="1"/>
  <c r="Q31" i="14" s="1"/>
  <c r="N33" i="14"/>
  <c r="N10" i="14"/>
  <c r="O9" i="14"/>
  <c r="N34" i="14" l="1"/>
  <c r="O33" i="14"/>
  <c r="P32" i="14" s="1"/>
  <c r="Q32" i="14" s="1"/>
  <c r="P8" i="14"/>
  <c r="Q8" i="14" s="1"/>
  <c r="O10" i="14"/>
  <c r="N11" i="14"/>
  <c r="N35" i="14" l="1"/>
  <c r="O34" i="14"/>
  <c r="P9" i="14"/>
  <c r="Q9" i="14" s="1"/>
  <c r="N12" i="14"/>
  <c r="O11" i="14"/>
  <c r="P33" i="14" l="1"/>
  <c r="Q33" i="14" s="1"/>
  <c r="O35" i="14"/>
  <c r="N36" i="14"/>
  <c r="O12" i="14"/>
  <c r="N13" i="14"/>
  <c r="P10" i="14"/>
  <c r="Q10" i="14" s="1"/>
  <c r="O36" i="14" l="1"/>
  <c r="P35" i="14" s="1"/>
  <c r="Q35" i="14" s="1"/>
  <c r="N37" i="14"/>
  <c r="P34" i="14"/>
  <c r="Q34" i="14" s="1"/>
  <c r="O13" i="14"/>
  <c r="N14" i="14"/>
  <c r="P11" i="14"/>
  <c r="Q11" i="14" s="1"/>
  <c r="O37" i="14" l="1"/>
  <c r="N38" i="14"/>
  <c r="O14" i="14"/>
  <c r="N15" i="14"/>
  <c r="P12" i="14"/>
  <c r="Q12" i="14" s="1"/>
  <c r="N39" i="14" l="1"/>
  <c r="O38" i="14"/>
  <c r="P36" i="14"/>
  <c r="Q36" i="14" s="1"/>
  <c r="P37" i="14"/>
  <c r="Q37" i="14" s="1"/>
  <c r="N16" i="14"/>
  <c r="O15" i="14"/>
  <c r="P13" i="14"/>
  <c r="Q13" i="14" s="1"/>
  <c r="P14" i="14"/>
  <c r="Q14" i="14" s="1"/>
  <c r="O39" i="14" l="1"/>
  <c r="N40" i="14"/>
  <c r="N17" i="14"/>
  <c r="O16" i="14"/>
  <c r="N41" i="14" l="1"/>
  <c r="O40" i="14"/>
  <c r="P39" i="14"/>
  <c r="Q39" i="14" s="1"/>
  <c r="P38" i="14"/>
  <c r="Q38" i="14" s="1"/>
  <c r="N18" i="14"/>
  <c r="O17" i="14"/>
  <c r="P15" i="14"/>
  <c r="Q15" i="14" s="1"/>
  <c r="P16" i="14"/>
  <c r="Q16" i="14" s="1"/>
  <c r="N42" i="14" l="1"/>
  <c r="O41" i="14"/>
  <c r="N19" i="14"/>
  <c r="O18" i="14"/>
  <c r="P40" i="14" l="1"/>
  <c r="Q40" i="14" s="1"/>
  <c r="O42" i="14"/>
  <c r="P41" i="14" s="1"/>
  <c r="Q41" i="14" s="1"/>
  <c r="N43" i="14"/>
  <c r="P17" i="14"/>
  <c r="Q17" i="14" s="1"/>
  <c r="N20" i="14"/>
  <c r="O19" i="14"/>
  <c r="O43" i="14" l="1"/>
  <c r="N44" i="14"/>
  <c r="P42" i="14"/>
  <c r="Q42" i="14" s="1"/>
  <c r="P18" i="14"/>
  <c r="Q18" i="14" s="1"/>
  <c r="O20" i="14"/>
  <c r="N21" i="14"/>
  <c r="N45" i="14" l="1"/>
  <c r="O44" i="14"/>
  <c r="P43" i="14" s="1"/>
  <c r="Q43" i="14" s="1"/>
  <c r="O21" i="14"/>
  <c r="P20" i="14" s="1"/>
  <c r="Q20" i="14" s="1"/>
  <c r="N22" i="14"/>
  <c r="P19" i="14"/>
  <c r="Q19" i="14" s="1"/>
  <c r="Q45" i="14" l="1"/>
  <c r="R45" i="14" s="1"/>
  <c r="O45" i="14"/>
  <c r="Q44" i="14"/>
  <c r="Q21" i="14"/>
  <c r="R22" i="14"/>
  <c r="O22" i="14"/>
  <c r="S45" i="14" l="1"/>
  <c r="T45" i="14" s="1"/>
  <c r="R44" i="14"/>
  <c r="S22" i="14"/>
  <c r="T22" i="14" s="1"/>
  <c r="R21" i="14"/>
  <c r="R43" i="14" l="1"/>
  <c r="S44" i="14"/>
  <c r="T44" i="14" s="1"/>
  <c r="S21" i="14"/>
  <c r="T21" i="14" s="1"/>
  <c r="R20" i="14"/>
  <c r="S43" i="14" l="1"/>
  <c r="T43" i="14" s="1"/>
  <c r="R42" i="14"/>
  <c r="S20" i="14"/>
  <c r="T20" i="14" s="1"/>
  <c r="R19" i="14"/>
  <c r="R41" i="14" l="1"/>
  <c r="S42" i="14"/>
  <c r="T42" i="14" s="1"/>
  <c r="S19" i="14"/>
  <c r="T19" i="14" s="1"/>
  <c r="R18" i="14"/>
  <c r="S41" i="14" l="1"/>
  <c r="T41" i="14" s="1"/>
  <c r="R40" i="14"/>
  <c r="S18" i="14"/>
  <c r="T18" i="14" s="1"/>
  <c r="R17" i="14"/>
  <c r="R39" i="14" l="1"/>
  <c r="S40" i="14"/>
  <c r="T40" i="14" s="1"/>
  <c r="R16" i="14"/>
  <c r="S17" i="14"/>
  <c r="T17" i="14" s="1"/>
  <c r="S39" i="14" l="1"/>
  <c r="T39" i="14" s="1"/>
  <c r="R38" i="14"/>
  <c r="S16" i="14"/>
  <c r="T16" i="14" s="1"/>
  <c r="R15" i="14"/>
  <c r="S38" i="14" l="1"/>
  <c r="T38" i="14" s="1"/>
  <c r="R37" i="14"/>
  <c r="S15" i="14"/>
  <c r="T15" i="14" s="1"/>
  <c r="R14" i="14"/>
  <c r="R36" i="14" l="1"/>
  <c r="S37" i="14"/>
  <c r="T37" i="14" s="1"/>
  <c r="R13" i="14"/>
  <c r="S14" i="14"/>
  <c r="T14" i="14" s="1"/>
  <c r="R35" i="14" l="1"/>
  <c r="S36" i="14"/>
  <c r="T36" i="14" s="1"/>
  <c r="S13" i="14"/>
  <c r="T13" i="14" s="1"/>
  <c r="R12" i="14"/>
  <c r="S35" i="14" l="1"/>
  <c r="T35" i="14" s="1"/>
  <c r="R34" i="14"/>
  <c r="S12" i="14"/>
  <c r="T12" i="14" s="1"/>
  <c r="R11" i="14"/>
  <c r="R33" i="14" l="1"/>
  <c r="S34" i="14"/>
  <c r="T34" i="14" s="1"/>
  <c r="S11" i="14"/>
  <c r="T11" i="14" s="1"/>
  <c r="R10" i="14"/>
  <c r="S33" i="14" l="1"/>
  <c r="T33" i="14" s="1"/>
  <c r="R32" i="14"/>
  <c r="R9" i="14"/>
  <c r="S10" i="14"/>
  <c r="T10" i="14" s="1"/>
  <c r="R31" i="14" l="1"/>
  <c r="S32" i="14"/>
  <c r="T32" i="14" s="1"/>
  <c r="R8" i="14"/>
  <c r="S9" i="14"/>
  <c r="T9" i="14" s="1"/>
  <c r="S31" i="14" l="1"/>
  <c r="T31" i="14" s="1"/>
  <c r="R30" i="14"/>
  <c r="S8" i="14"/>
  <c r="T8" i="14" s="1"/>
  <c r="R7" i="14"/>
  <c r="R29" i="14" l="1"/>
  <c r="S30" i="14"/>
  <c r="T30" i="14" s="1"/>
  <c r="S7" i="14"/>
  <c r="T7" i="14" s="1"/>
  <c r="R6" i="14"/>
  <c r="S29" i="14" l="1"/>
  <c r="T29" i="14" s="1"/>
  <c r="R28" i="14"/>
  <c r="S6" i="14"/>
  <c r="T6" i="14" s="1"/>
  <c r="R5" i="14"/>
  <c r="R4" i="14" s="1"/>
  <c r="R27" i="14" l="1"/>
  <c r="S28" i="14"/>
  <c r="T28" i="14" s="1"/>
  <c r="S5" i="14"/>
  <c r="T5" i="14" s="1"/>
  <c r="S27" i="14" l="1"/>
  <c r="W32" i="14"/>
  <c r="W33" i="14" s="1"/>
  <c r="W9" i="14"/>
  <c r="W10" i="14" s="1"/>
  <c r="S4" i="14"/>
  <c r="AA27" i="14" s="1"/>
  <c r="AA29" i="14" s="1"/>
  <c r="T27" i="14" l="1"/>
  <c r="AB27" i="14"/>
  <c r="AB29" i="14" s="1"/>
  <c r="T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A3F6A9-19FA-4529-9009-061E346BD2FA}" keepAlive="1" name="Consulta - def_pro_homicidios_sl" description="Conexión a la consulta 'def_pro_homicidios_sl' en el libro." type="5" refreshedVersion="8" background="1" saveData="1">
    <dbPr connection="Provider=Microsoft.Mashup.OleDb.1;Data Source=$Workbook$;Location=def_pro_homicidios_sl;Extended Properties=&quot;&quot;" command="SELECT * FROM [def_pro_homicidios_sl]"/>
  </connection>
  <connection id="2" xr16:uid="{A0606800-66A1-49CF-8C98-1CB54FDB1519}" keepAlive="1" name="Consulta - def_sl" description="Conexión a la consulta 'def_sl' en el libro." type="5" refreshedVersion="8" background="1" saveData="1">
    <dbPr connection="Provider=Microsoft.Mashup.OleDb.1;Data Source=$Workbook$;Location=def_sl;Extended Properties=&quot;&quot;" command="SELECT * FROM [def_sl]"/>
  </connection>
  <connection id="3" xr16:uid="{A1FE104A-EAAF-46B3-8036-58AB392034D7}" keepAlive="1" name="Consulta - lt_sl" description="Conexión a la consulta 'lt_sl' en el libro." type="5" refreshedVersion="8" background="1" saveData="1">
    <dbPr connection="Provider=Microsoft.Mashup.OleDb.1;Data Source=$Workbook$;Location=lt_sl;Extended Properties=&quot;&quot;" command="SELECT * FROM [lt_sl]"/>
  </connection>
</connections>
</file>

<file path=xl/sharedStrings.xml><?xml version="1.0" encoding="utf-8"?>
<sst xmlns="http://schemas.openxmlformats.org/spreadsheetml/2006/main" count="1763" uniqueCount="140">
  <si>
    <t>15-19</t>
  </si>
  <si>
    <t>20-24</t>
  </si>
  <si>
    <t>25-29</t>
  </si>
  <si>
    <t>30-34</t>
  </si>
  <si>
    <t>35-39</t>
  </si>
  <si>
    <t>40-44</t>
  </si>
  <si>
    <t>45-49</t>
  </si>
  <si>
    <t>Princeton</t>
  </si>
  <si>
    <t>a(x,j)</t>
  </si>
  <si>
    <t>b(x,j)</t>
  </si>
  <si>
    <t>c(x,j)</t>
  </si>
  <si>
    <t>d(x,j)</t>
  </si>
  <si>
    <t>e(x,j)</t>
  </si>
  <si>
    <t>f(x,j)</t>
  </si>
  <si>
    <t>g(x,j)</t>
  </si>
  <si>
    <t>Conversion of D into q</t>
  </si>
  <si>
    <t>Time location</t>
  </si>
  <si>
    <t>Princeton - North</t>
  </si>
  <si>
    <t>Princeton - South</t>
  </si>
  <si>
    <t>Princeton - East</t>
  </si>
  <si>
    <t>Princeton - West</t>
  </si>
  <si>
    <t>UN - Latin America</t>
  </si>
  <si>
    <t>UN - Chile</t>
  </si>
  <si>
    <t>UN - South Asian</t>
  </si>
  <si>
    <t>UN - Far Eastern</t>
  </si>
  <si>
    <t>UN - General</t>
  </si>
  <si>
    <t>Age of mother</t>
  </si>
  <si>
    <t>BY AGE OF MOTHER</t>
  </si>
  <si>
    <t>x</t>
  </si>
  <si>
    <t>0-4</t>
  </si>
  <si>
    <t>5-9</t>
  </si>
  <si>
    <t>10-14</t>
  </si>
  <si>
    <t>Princeton North</t>
  </si>
  <si>
    <t>UN South Asian</t>
  </si>
  <si>
    <t>UN General</t>
  </si>
  <si>
    <t>Duration since first birth</t>
  </si>
  <si>
    <t>Duration since marriage</t>
  </si>
  <si>
    <t>Princeton South</t>
  </si>
  <si>
    <t>Princeton East</t>
  </si>
  <si>
    <t>Princeton West</t>
  </si>
  <si>
    <t>UN</t>
  </si>
  <si>
    <t>North</t>
  </si>
  <si>
    <t>South</t>
  </si>
  <si>
    <t>East</t>
  </si>
  <si>
    <t>West</t>
  </si>
  <si>
    <t>Latin America</t>
  </si>
  <si>
    <t>South Asian</t>
  </si>
  <si>
    <t>Far East</t>
  </si>
  <si>
    <t>General</t>
  </si>
  <si>
    <t>Census date</t>
  </si>
  <si>
    <t>Country</t>
  </si>
  <si>
    <t>Metric</t>
  </si>
  <si>
    <t>Model LTs</t>
  </si>
  <si>
    <t>Age</t>
  </si>
  <si>
    <t>Sex</t>
  </si>
  <si>
    <t>Male</t>
  </si>
  <si>
    <t>Female</t>
  </si>
  <si>
    <t>Both</t>
  </si>
  <si>
    <t>Females</t>
  </si>
  <si>
    <t>Males</t>
  </si>
  <si>
    <t>Combined</t>
  </si>
  <si>
    <t>Mean age of childbearing</t>
  </si>
  <si>
    <t>UN Latin American</t>
  </si>
  <si>
    <t>UN Chilean</t>
  </si>
  <si>
    <t>UN Far Eastern</t>
  </si>
  <si>
    <t>Selected LT</t>
  </si>
  <si>
    <t>Malawi</t>
  </si>
  <si>
    <t xml:space="preserve">This method is described at: </t>
  </si>
  <si>
    <t>Set input parameters</t>
  </si>
  <si>
    <t>This spreadsheet estimates child mortality from data on the mean number of children ever born and surviving by age of mother, the duration since first birth, or duration since marriage.</t>
  </si>
  <si>
    <t>Enter the country name and data descriptor in the green cell to the right.</t>
  </si>
  <si>
    <t>Record the date of the inquiry in the green cell to the right.</t>
  </si>
  <si>
    <t>Set the mortality parameters for the method in the green cells to the right.</t>
  </si>
  <si>
    <t>Variant of method</t>
  </si>
  <si>
    <t>Family of model life tables</t>
  </si>
  <si>
    <t>Mortality pattern</t>
  </si>
  <si>
    <t>Chile</t>
  </si>
  <si>
    <t xml:space="preserve">Specify the variant of the model to be fitted. </t>
  </si>
  <si>
    <t>Estimation of child mortality using data on children ever born and children surviving - Instructions</t>
  </si>
  <si>
    <t>Results</t>
  </si>
  <si>
    <r>
      <t xml:space="preserve">Estimates of infant mortality, </t>
    </r>
    <r>
      <rPr>
        <i/>
        <sz val="12"/>
        <rFont val="Arial"/>
        <family val="2"/>
      </rPr>
      <t>q(</t>
    </r>
    <r>
      <rPr>
        <sz val="12"/>
        <rFont val="Arial"/>
        <family val="2"/>
      </rPr>
      <t xml:space="preserve">1), and child mortality, </t>
    </r>
    <r>
      <rPr>
        <i/>
        <sz val="12"/>
        <rFont val="Arial"/>
        <family val="2"/>
      </rPr>
      <t>q</t>
    </r>
    <r>
      <rPr>
        <sz val="12"/>
        <rFont val="Arial"/>
        <family val="2"/>
      </rPr>
      <t xml:space="preserve">(5), are located in cells </t>
    </r>
    <r>
      <rPr>
        <b/>
        <sz val="12"/>
        <rFont val="Arial"/>
        <family val="2"/>
      </rPr>
      <t>L5:M10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>Method</t>
    </r>
    <r>
      <rPr>
        <sz val="12"/>
        <rFont val="Arial"/>
        <family val="2"/>
      </rPr>
      <t xml:space="preserve"> sheet.</t>
    </r>
  </si>
  <si>
    <r>
      <t xml:space="preserve">Time locations of these estimates are located in cells </t>
    </r>
    <r>
      <rPr>
        <b/>
        <sz val="12"/>
        <rFont val="Arial"/>
        <family val="2"/>
      </rPr>
      <t>K5:K10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 Method</t>
    </r>
    <r>
      <rPr>
        <sz val="12"/>
        <rFont val="Arial"/>
        <family val="2"/>
      </rPr>
      <t xml:space="preserve"> sheet.</t>
    </r>
  </si>
  <si>
    <t>Duration</t>
  </si>
  <si>
    <t>BY DURATION SINCE FIRST BIRTH</t>
  </si>
  <si>
    <t>BY DURATION SINCE MARRIAGE</t>
  </si>
  <si>
    <t>Model variant</t>
  </si>
  <si>
    <t>Model family</t>
  </si>
  <si>
    <t>Model pattern</t>
  </si>
  <si>
    <t>Valid combinations</t>
  </si>
  <si>
    <t>logits with e0 = 60</t>
  </si>
  <si>
    <t>logit l(x)</t>
  </si>
  <si>
    <t>http://demographicestimation.iussp.org/content/indirect-estimation-child-mortality</t>
  </si>
  <si>
    <r>
      <t xml:space="preserve">Place the mean number of children ever born, tabulated according to the variant of the model in cells </t>
    </r>
    <r>
      <rPr>
        <b/>
        <sz val="12"/>
        <rFont val="Arial"/>
        <family val="2"/>
      </rPr>
      <t>B5:B11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</si>
  <si>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r>
      <t xml:space="preserve">Place the mean number of children surviving, tabulated according to the variant of the model in cells </t>
    </r>
    <r>
      <rPr>
        <b/>
        <sz val="12"/>
        <rFont val="Arial"/>
        <family val="2"/>
      </rPr>
      <t>C5:C11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</si>
  <si>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t>México</t>
  </si>
  <si>
    <t>Diff</t>
  </si>
  <si>
    <t>Con COVID</t>
  </si>
  <si>
    <t>Sin COVID</t>
  </si>
  <si>
    <t>Número de años que se espera 
que viva una mujer de 0 años 
hasta llegar a los 85 años.</t>
  </si>
  <si>
    <t>diff</t>
  </si>
  <si>
    <t>e0_i</t>
  </si>
  <si>
    <t>T</t>
  </si>
  <si>
    <t>L</t>
  </si>
  <si>
    <t>ndx_i</t>
  </si>
  <si>
    <t>nqx_i</t>
  </si>
  <si>
    <t>e0</t>
  </si>
  <si>
    <t>nqx</t>
  </si>
  <si>
    <t>nDxi</t>
  </si>
  <si>
    <t>nDx</t>
  </si>
  <si>
    <t>n</t>
  </si>
  <si>
    <t>Age x</t>
  </si>
  <si>
    <t>Número de años que se espera 
que viva un hombre de 0 años 
hasta llegar a los 85 años.</t>
  </si>
  <si>
    <t>Mujeres</t>
  </si>
  <si>
    <t>Hombres</t>
  </si>
  <si>
    <t>Hombres, 2019</t>
  </si>
  <si>
    <t>Mujeres, 2019</t>
  </si>
  <si>
    <t>year</t>
  </si>
  <si>
    <t>sex</t>
  </si>
  <si>
    <t>age</t>
  </si>
  <si>
    <t>deaths</t>
  </si>
  <si>
    <t>male</t>
  </si>
  <si>
    <t>female</t>
  </si>
  <si>
    <t>mx</t>
  </si>
  <si>
    <t>qx</t>
  </si>
  <si>
    <t>ax</t>
  </si>
  <si>
    <t>lx</t>
  </si>
  <si>
    <t>dx</t>
  </si>
  <si>
    <t>Tx</t>
  </si>
  <si>
    <t>ex</t>
  </si>
  <si>
    <t>m</t>
  </si>
  <si>
    <t>NA</t>
  </si>
  <si>
    <t>f</t>
  </si>
  <si>
    <t>Sin homicidios</t>
  </si>
  <si>
    <t>Con homicidios</t>
  </si>
  <si>
    <t>Lx.1</t>
  </si>
  <si>
    <t>0.05</t>
  </si>
  <si>
    <t>1.65</t>
  </si>
  <si>
    <t>2.5</t>
  </si>
  <si>
    <t>0.06</t>
  </si>
  <si>
    <t>1.52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</si>
</sst>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00"/>
    <numFmt numFmtId="166" formatCode="General_)"/>
    <numFmt numFmtId="167" formatCode="0_)"/>
    <numFmt numFmtId="168" formatCode="0.0000_)"/>
    <numFmt numFmtId="169" formatCode="0.000_)"/>
    <numFmt numFmtId="170" formatCode="0.00000_)"/>
    <numFmt numFmtId="171" formatCode="0.00000"/>
    <numFmt numFmtId="172" formatCode="#,##0.0000"/>
  </numFmts>
  <fonts count="2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Courier"/>
      <family val="3"/>
    </font>
    <font>
      <b/>
      <sz val="11"/>
      <name val="Arial Narrow"/>
      <family val="2"/>
    </font>
    <font>
      <sz val="12"/>
      <name val="Helv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6100"/>
      <name val="Arial"/>
      <family val="2"/>
    </font>
    <font>
      <sz val="12"/>
      <color rgb="FF006100"/>
      <name val="Arial"/>
      <family val="2"/>
    </font>
    <font>
      <sz val="10"/>
      <color theme="1"/>
      <name val="Arial"/>
      <family val="2"/>
    </font>
    <font>
      <b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Georgia"/>
      <family val="1"/>
    </font>
    <font>
      <sz val="1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Georgia"/>
      <family val="1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166" fontId="2" fillId="0" borderId="0"/>
    <xf numFmtId="167" fontId="4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78">
    <xf numFmtId="0" fontId="0" fillId="0" borderId="0" xfId="0"/>
    <xf numFmtId="0" fontId="7" fillId="0" borderId="0" xfId="4" applyFont="1"/>
    <xf numFmtId="0" fontId="7" fillId="0" borderId="0" xfId="4" applyFont="1" applyAlignment="1">
      <alignment wrapText="1"/>
    </xf>
    <xf numFmtId="0" fontId="6" fillId="0" borderId="0" xfId="4" applyFont="1"/>
    <xf numFmtId="0" fontId="7" fillId="0" borderId="0" xfId="4" applyFont="1" applyAlignment="1">
      <alignment vertical="center"/>
    </xf>
    <xf numFmtId="0" fontId="7" fillId="0" borderId="0" xfId="4" applyFont="1" applyAlignment="1">
      <alignment vertical="top" wrapText="1"/>
    </xf>
    <xf numFmtId="0" fontId="7" fillId="0" borderId="0" xfId="4" applyFont="1" applyAlignment="1">
      <alignment vertical="top"/>
    </xf>
    <xf numFmtId="0" fontId="10" fillId="0" borderId="0" xfId="0" applyFont="1"/>
    <xf numFmtId="0" fontId="7" fillId="0" borderId="13" xfId="4" applyFont="1" applyBorder="1" applyAlignment="1">
      <alignment horizontal="right"/>
    </xf>
    <xf numFmtId="0" fontId="7" fillId="0" borderId="12" xfId="4" applyFont="1" applyBorder="1" applyAlignment="1">
      <alignment horizontal="right"/>
    </xf>
    <xf numFmtId="0" fontId="10" fillId="0" borderId="14" xfId="4" applyFont="1" applyBorder="1" applyAlignment="1">
      <alignment horizontal="right"/>
    </xf>
    <xf numFmtId="0" fontId="7" fillId="0" borderId="0" xfId="4" applyFont="1" applyAlignment="1">
      <alignment horizontal="left"/>
    </xf>
    <xf numFmtId="0" fontId="7" fillId="0" borderId="20" xfId="4" applyFont="1" applyBorder="1" applyAlignment="1">
      <alignment horizontal="right"/>
    </xf>
    <xf numFmtId="0" fontId="10" fillId="0" borderId="12" xfId="0" applyFont="1" applyBorder="1"/>
    <xf numFmtId="0" fontId="10" fillId="0" borderId="0" xfId="0" applyFont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10" fillId="0" borderId="18" xfId="0" applyFont="1" applyBorder="1"/>
    <xf numFmtId="0" fontId="10" fillId="0" borderId="0" xfId="0" applyFont="1" applyProtection="1">
      <protection locked="0"/>
    </xf>
    <xf numFmtId="0" fontId="10" fillId="0" borderId="0" xfId="0" applyFont="1" applyAlignment="1">
      <alignment wrapText="1"/>
    </xf>
    <xf numFmtId="0" fontId="14" fillId="0" borderId="0" xfId="0" applyFont="1"/>
    <xf numFmtId="164" fontId="14" fillId="0" borderId="0" xfId="0" applyNumberFormat="1" applyFont="1"/>
    <xf numFmtId="1" fontId="14" fillId="0" borderId="0" xfId="0" applyNumberFormat="1" applyFont="1"/>
    <xf numFmtId="0" fontId="14" fillId="0" borderId="0" xfId="0" applyFont="1" applyAlignment="1">
      <alignment horizontal="right" vertical="center"/>
    </xf>
    <xf numFmtId="0" fontId="15" fillId="0" borderId="0" xfId="0" applyFont="1"/>
    <xf numFmtId="0" fontId="7" fillId="0" borderId="0" xfId="4" applyFont="1" applyAlignment="1">
      <alignment horizontal="right" vertical="top"/>
    </xf>
    <xf numFmtId="0" fontId="15" fillId="0" borderId="7" xfId="0" applyFont="1" applyBorder="1"/>
    <xf numFmtId="0" fontId="14" fillId="0" borderId="0" xfId="0" applyFont="1" applyAlignment="1">
      <alignment horizontal="right" vertical="center" wrapText="1"/>
    </xf>
    <xf numFmtId="164" fontId="14" fillId="0" borderId="0" xfId="0" applyNumberFormat="1" applyFont="1" applyAlignment="1">
      <alignment vertical="top" wrapText="1"/>
    </xf>
    <xf numFmtId="1" fontId="14" fillId="0" borderId="0" xfId="0" applyNumberFormat="1" applyFont="1" applyAlignment="1">
      <alignment vertical="top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16" fontId="15" fillId="0" borderId="0" xfId="0" applyNumberFormat="1" applyFont="1" applyAlignment="1">
      <alignment vertical="center" wrapText="1"/>
    </xf>
    <xf numFmtId="17" fontId="15" fillId="0" borderId="0" xfId="0" applyNumberFormat="1" applyFont="1" applyAlignment="1">
      <alignment vertical="center" wrapText="1"/>
    </xf>
    <xf numFmtId="0" fontId="15" fillId="0" borderId="1" xfId="0" applyFont="1" applyBorder="1"/>
    <xf numFmtId="0" fontId="15" fillId="0" borderId="4" xfId="0" applyFont="1" applyBorder="1"/>
    <xf numFmtId="0" fontId="14" fillId="0" borderId="4" xfId="0" applyFont="1" applyBorder="1"/>
    <xf numFmtId="164" fontId="14" fillId="0" borderId="5" xfId="0" applyNumberFormat="1" applyFont="1" applyBorder="1"/>
    <xf numFmtId="0" fontId="14" fillId="0" borderId="4" xfId="0" applyFont="1" applyBorder="1" applyAlignment="1">
      <alignment vertical="top" wrapText="1"/>
    </xf>
    <xf numFmtId="0" fontId="19" fillId="0" borderId="0" xfId="0" applyFont="1" applyAlignment="1">
      <alignment vertical="center" wrapText="1"/>
    </xf>
    <xf numFmtId="0" fontId="14" fillId="0" borderId="5" xfId="0" applyFont="1" applyBorder="1" applyAlignment="1">
      <alignment horizontal="right" vertical="center" wrapText="1"/>
    </xf>
    <xf numFmtId="0" fontId="19" fillId="0" borderId="4" xfId="0" applyFont="1" applyBorder="1" applyAlignment="1">
      <alignment vertical="center" wrapText="1"/>
    </xf>
    <xf numFmtId="0" fontId="14" fillId="0" borderId="5" xfId="0" applyFont="1" applyBorder="1"/>
    <xf numFmtId="164" fontId="14" fillId="0" borderId="0" xfId="0" applyNumberFormat="1" applyFont="1" applyAlignment="1">
      <alignment horizontal="right" vertical="center" wrapText="1"/>
    </xf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5" fillId="0" borderId="2" xfId="0" applyFont="1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9" fillId="0" borderId="5" xfId="0" applyFont="1" applyBorder="1" applyAlignment="1">
      <alignment vertical="center"/>
    </xf>
    <xf numFmtId="0" fontId="15" fillId="0" borderId="6" xfId="0" applyFont="1" applyBorder="1"/>
    <xf numFmtId="0" fontId="16" fillId="0" borderId="7" xfId="0" applyFont="1" applyBorder="1" applyAlignment="1">
      <alignment horizontal="right"/>
    </xf>
    <xf numFmtId="0" fontId="15" fillId="0" borderId="8" xfId="0" applyFont="1" applyBorder="1"/>
    <xf numFmtId="167" fontId="5" fillId="6" borderId="0" xfId="3" applyFont="1" applyFill="1"/>
    <xf numFmtId="167" fontId="5" fillId="6" borderId="23" xfId="3" applyFont="1" applyFill="1" applyBorder="1"/>
    <xf numFmtId="167" fontId="5" fillId="6" borderId="24" xfId="3" applyFont="1" applyFill="1" applyBorder="1"/>
    <xf numFmtId="167" fontId="5" fillId="6" borderId="9" xfId="3" applyFont="1" applyFill="1" applyBorder="1"/>
    <xf numFmtId="169" fontId="5" fillId="6" borderId="0" xfId="3" applyNumberFormat="1" applyFont="1" applyFill="1"/>
    <xf numFmtId="0" fontId="14" fillId="0" borderId="7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14" fillId="0" borderId="7" xfId="0" applyFont="1" applyBorder="1" applyAlignment="1">
      <alignment horizontal="right" vertical="center" wrapText="1"/>
    </xf>
    <xf numFmtId="1" fontId="14" fillId="0" borderId="4" xfId="0" applyNumberFormat="1" applyFont="1" applyBorder="1"/>
    <xf numFmtId="1" fontId="14" fillId="0" borderId="5" xfId="0" applyNumberFormat="1" applyFont="1" applyBorder="1"/>
    <xf numFmtId="167" fontId="5" fillId="0" borderId="1" xfId="3" applyFont="1" applyBorder="1"/>
    <xf numFmtId="167" fontId="5" fillId="0" borderId="4" xfId="3" applyFont="1" applyBorder="1"/>
    <xf numFmtId="170" fontId="5" fillId="0" borderId="0" xfId="3" applyNumberFormat="1" applyFont="1"/>
    <xf numFmtId="167" fontId="5" fillId="0" borderId="6" xfId="3" applyFont="1" applyBorder="1"/>
    <xf numFmtId="171" fontId="14" fillId="0" borderId="4" xfId="0" applyNumberFormat="1" applyFont="1" applyBorder="1"/>
    <xf numFmtId="171" fontId="14" fillId="0" borderId="0" xfId="0" applyNumberFormat="1" applyFont="1"/>
    <xf numFmtId="171" fontId="14" fillId="0" borderId="5" xfId="0" applyNumberFormat="1" applyFont="1" applyBorder="1"/>
    <xf numFmtId="171" fontId="14" fillId="0" borderId="6" xfId="0" applyNumberFormat="1" applyFont="1" applyBorder="1"/>
    <xf numFmtId="171" fontId="14" fillId="0" borderId="7" xfId="0" applyNumberFormat="1" applyFont="1" applyBorder="1"/>
    <xf numFmtId="171" fontId="14" fillId="0" borderId="8" xfId="0" applyNumberFormat="1" applyFont="1" applyBorder="1"/>
    <xf numFmtId="0" fontId="15" fillId="0" borderId="25" xfId="0" applyFont="1" applyBorder="1"/>
    <xf numFmtId="0" fontId="15" fillId="0" borderId="26" xfId="0" applyFont="1" applyBorder="1"/>
    <xf numFmtId="0" fontId="15" fillId="0" borderId="27" xfId="0" applyFont="1" applyBorder="1"/>
    <xf numFmtId="0" fontId="16" fillId="0" borderId="0" xfId="0" applyFont="1" applyAlignment="1">
      <alignment horizontal="right"/>
    </xf>
    <xf numFmtId="168" fontId="5" fillId="0" borderId="0" xfId="3" applyNumberFormat="1" applyFont="1"/>
    <xf numFmtId="0" fontId="16" fillId="0" borderId="0" xfId="0" applyFont="1"/>
    <xf numFmtId="0" fontId="14" fillId="0" borderId="3" xfId="0" applyFont="1" applyBorder="1"/>
    <xf numFmtId="170" fontId="5" fillId="0" borderId="5" xfId="3" applyNumberFormat="1" applyFont="1" applyBorder="1"/>
    <xf numFmtId="170" fontId="5" fillId="0" borderId="8" xfId="3" applyNumberFormat="1" applyFont="1" applyBorder="1"/>
    <xf numFmtId="164" fontId="14" fillId="0" borderId="0" xfId="0" applyNumberFormat="1" applyFont="1" applyAlignment="1">
      <alignment vertical="center"/>
    </xf>
    <xf numFmtId="0" fontId="21" fillId="0" borderId="0" xfId="0" applyFont="1"/>
    <xf numFmtId="2" fontId="0" fillId="0" borderId="0" xfId="0" applyNumberFormat="1"/>
    <xf numFmtId="2" fontId="0" fillId="0" borderId="28" xfId="0" applyNumberFormat="1" applyBorder="1"/>
    <xf numFmtId="2" fontId="20" fillId="0" borderId="8" xfId="0" applyNumberFormat="1" applyFont="1" applyBorder="1"/>
    <xf numFmtId="2" fontId="22" fillId="0" borderId="7" xfId="0" applyNumberFormat="1" applyFont="1" applyBorder="1" applyAlignment="1">
      <alignment horizontal="center"/>
    </xf>
    <xf numFmtId="3" fontId="22" fillId="0" borderId="7" xfId="0" applyNumberFormat="1" applyFont="1" applyBorder="1" applyAlignment="1">
      <alignment horizontal="center"/>
    </xf>
    <xf numFmtId="165" fontId="22" fillId="0" borderId="7" xfId="0" applyNumberFormat="1" applyFont="1" applyBorder="1" applyAlignment="1">
      <alignment horizontal="center"/>
    </xf>
    <xf numFmtId="172" fontId="22" fillId="0" borderId="7" xfId="0" applyNumberFormat="1" applyFont="1" applyBorder="1" applyAlignment="1">
      <alignment horizontal="center"/>
    </xf>
    <xf numFmtId="164" fontId="22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2" fontId="20" fillId="0" borderId="5" xfId="0" applyNumberFormat="1" applyFont="1" applyBorder="1"/>
    <xf numFmtId="2" fontId="22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172" fontId="22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4" xfId="0" applyFont="1" applyBorder="1" applyAlignment="1">
      <alignment horizontal="center"/>
    </xf>
    <xf numFmtId="2" fontId="20" fillId="0" borderId="29" xfId="0" applyNumberFormat="1" applyFont="1" applyBorder="1"/>
    <xf numFmtId="0" fontId="21" fillId="0" borderId="29" xfId="0" applyFont="1" applyBorder="1"/>
    <xf numFmtId="2" fontId="20" fillId="0" borderId="0" xfId="0" applyNumberFormat="1" applyFont="1"/>
    <xf numFmtId="0" fontId="21" fillId="0" borderId="29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27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5" fillId="0" borderId="0" xfId="0" applyFont="1" applyAlignment="1">
      <alignment horizontal="left"/>
    </xf>
    <xf numFmtId="3" fontId="22" fillId="8" borderId="0" xfId="0" applyNumberFormat="1" applyFont="1" applyFill="1" applyAlignment="1">
      <alignment horizontal="center"/>
    </xf>
    <xf numFmtId="3" fontId="22" fillId="8" borderId="7" xfId="0" applyNumberFormat="1" applyFont="1" applyFill="1" applyBorder="1" applyAlignment="1">
      <alignment horizontal="center"/>
    </xf>
    <xf numFmtId="3" fontId="22" fillId="9" borderId="0" xfId="0" applyNumberFormat="1" applyFont="1" applyFill="1" applyAlignment="1">
      <alignment horizontal="center"/>
    </xf>
    <xf numFmtId="3" fontId="22" fillId="9" borderId="7" xfId="0" applyNumberFormat="1" applyFont="1" applyFill="1" applyBorder="1" applyAlignment="1">
      <alignment horizontal="center"/>
    </xf>
    <xf numFmtId="164" fontId="22" fillId="8" borderId="0" xfId="0" applyNumberFormat="1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0" fontId="22" fillId="8" borderId="7" xfId="0" applyFont="1" applyFill="1" applyBorder="1" applyAlignment="1">
      <alignment horizontal="center"/>
    </xf>
    <xf numFmtId="2" fontId="22" fillId="8" borderId="0" xfId="0" applyNumberFormat="1" applyFont="1" applyFill="1" applyAlignment="1">
      <alignment horizontal="center"/>
    </xf>
    <xf numFmtId="2" fontId="22" fillId="8" borderId="7" xfId="0" applyNumberFormat="1" applyFont="1" applyFill="1" applyBorder="1" applyAlignment="1">
      <alignment horizontal="center"/>
    </xf>
    <xf numFmtId="3" fontId="22" fillId="10" borderId="0" xfId="0" applyNumberFormat="1" applyFont="1" applyFill="1" applyAlignment="1">
      <alignment horizontal="center"/>
    </xf>
    <xf numFmtId="3" fontId="22" fillId="10" borderId="7" xfId="0" applyNumberFormat="1" applyFont="1" applyFill="1" applyBorder="1" applyAlignment="1">
      <alignment horizontal="center"/>
    </xf>
    <xf numFmtId="3" fontId="22" fillId="11" borderId="0" xfId="0" applyNumberFormat="1" applyFont="1" applyFill="1" applyAlignment="1">
      <alignment horizontal="center"/>
    </xf>
    <xf numFmtId="164" fontId="22" fillId="10" borderId="0" xfId="0" applyNumberFormat="1" applyFont="1" applyFill="1" applyAlignment="1">
      <alignment horizontal="center"/>
    </xf>
    <xf numFmtId="3" fontId="22" fillId="11" borderId="7" xfId="0" applyNumberFormat="1" applyFont="1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0" fontId="22" fillId="10" borderId="7" xfId="0" applyFont="1" applyFill="1" applyBorder="1" applyAlignment="1">
      <alignment horizontal="center"/>
    </xf>
    <xf numFmtId="2" fontId="22" fillId="10" borderId="7" xfId="0" applyNumberFormat="1" applyFont="1" applyFill="1" applyBorder="1" applyAlignment="1">
      <alignment horizontal="center"/>
    </xf>
    <xf numFmtId="2" fontId="26" fillId="12" borderId="0" xfId="0" applyNumberFormat="1" applyFont="1" applyFill="1" applyAlignment="1">
      <alignment horizontal="center"/>
    </xf>
    <xf numFmtId="2" fontId="26" fillId="13" borderId="0" xfId="0" applyNumberFormat="1" applyFont="1" applyFill="1" applyAlignment="1">
      <alignment horizontal="center"/>
    </xf>
    <xf numFmtId="2" fontId="26" fillId="15" borderId="0" xfId="0" applyNumberFormat="1" applyFont="1" applyFill="1" applyAlignment="1">
      <alignment horizontal="center"/>
    </xf>
    <xf numFmtId="0" fontId="20" fillId="0" borderId="28" xfId="0" applyFont="1" applyBorder="1"/>
    <xf numFmtId="0" fontId="11" fillId="0" borderId="0" xfId="0" applyFont="1" applyAlignment="1">
      <alignment horizontal="center" vertical="top" wrapText="1"/>
    </xf>
    <xf numFmtId="165" fontId="12" fillId="2" borderId="15" xfId="1" applyNumberFormat="1" applyFont="1" applyBorder="1" applyAlignment="1" applyProtection="1">
      <alignment horizontal="center"/>
      <protection locked="0"/>
    </xf>
    <xf numFmtId="165" fontId="12" fillId="2" borderId="17" xfId="1" applyNumberFormat="1" applyFont="1" applyBorder="1" applyAlignment="1" applyProtection="1">
      <alignment horizontal="center"/>
      <protection locked="0"/>
    </xf>
    <xf numFmtId="0" fontId="13" fillId="3" borderId="0" xfId="1" applyFont="1" applyFill="1" applyBorder="1" applyAlignment="1" applyProtection="1">
      <alignment horizontal="center"/>
    </xf>
    <xf numFmtId="0" fontId="13" fillId="3" borderId="18" xfId="1" applyFont="1" applyFill="1" applyBorder="1" applyAlignment="1" applyProtection="1">
      <alignment horizontal="center"/>
    </xf>
    <xf numFmtId="14" fontId="13" fillId="2" borderId="16" xfId="1" applyNumberFormat="1" applyFont="1" applyBorder="1" applyAlignment="1" applyProtection="1">
      <alignment horizontal="center"/>
      <protection locked="0"/>
    </xf>
    <xf numFmtId="14" fontId="13" fillId="2" borderId="19" xfId="1" applyNumberFormat="1" applyFont="1" applyBorder="1" applyAlignment="1" applyProtection="1">
      <alignment horizontal="center"/>
      <protection locked="0"/>
    </xf>
    <xf numFmtId="165" fontId="13" fillId="2" borderId="21" xfId="1" applyNumberFormat="1" applyFont="1" applyBorder="1" applyAlignment="1" applyProtection="1">
      <alignment horizontal="right"/>
      <protection locked="0"/>
    </xf>
    <xf numFmtId="165" fontId="13" fillId="2" borderId="22" xfId="1" applyNumberFormat="1" applyFont="1" applyBorder="1" applyAlignment="1" applyProtection="1">
      <alignment horizontal="right"/>
      <protection locked="0"/>
    </xf>
    <xf numFmtId="165" fontId="13" fillId="2" borderId="15" xfId="1" applyNumberFormat="1" applyFont="1" applyBorder="1" applyAlignment="1" applyProtection="1">
      <alignment horizontal="right"/>
      <protection locked="0"/>
    </xf>
    <xf numFmtId="165" fontId="13" fillId="2" borderId="17" xfId="1" applyNumberFormat="1" applyFont="1" applyBorder="1" applyAlignment="1" applyProtection="1">
      <alignment horizontal="right"/>
      <protection locked="0"/>
    </xf>
    <xf numFmtId="0" fontId="6" fillId="4" borderId="10" xfId="4" applyFont="1" applyFill="1" applyBorder="1" applyAlignment="1">
      <alignment horizontal="center" wrapText="1"/>
    </xf>
    <xf numFmtId="0" fontId="6" fillId="4" borderId="11" xfId="4" applyFont="1" applyFill="1" applyBorder="1" applyAlignment="1">
      <alignment horizontal="center" wrapText="1"/>
    </xf>
    <xf numFmtId="0" fontId="7" fillId="0" borderId="0" xfId="4" applyFont="1" applyAlignment="1">
      <alignment horizontal="left" vertical="top" wrapText="1"/>
    </xf>
    <xf numFmtId="165" fontId="13" fillId="2" borderId="0" xfId="1" applyNumberFormat="1" applyFont="1" applyBorder="1" applyAlignment="1" applyProtection="1">
      <alignment horizontal="right"/>
      <protection locked="0"/>
    </xf>
    <xf numFmtId="165" fontId="13" fillId="2" borderId="18" xfId="1" applyNumberFormat="1" applyFont="1" applyBorder="1" applyAlignment="1" applyProtection="1">
      <alignment horizontal="right"/>
      <protection locked="0"/>
    </xf>
    <xf numFmtId="0" fontId="13" fillId="5" borderId="16" xfId="0" applyFont="1" applyFill="1" applyBorder="1" applyAlignment="1" applyProtection="1">
      <alignment horizontal="right"/>
      <protection locked="0"/>
    </xf>
    <xf numFmtId="0" fontId="13" fillId="5" borderId="19" xfId="0" applyFont="1" applyFill="1" applyBorder="1" applyAlignment="1" applyProtection="1">
      <alignment horizontal="right"/>
      <protection locked="0"/>
    </xf>
    <xf numFmtId="0" fontId="13" fillId="2" borderId="0" xfId="1" applyFont="1" applyBorder="1" applyAlignment="1" applyProtection="1">
      <alignment horizontal="right"/>
      <protection locked="0"/>
    </xf>
    <xf numFmtId="0" fontId="13" fillId="2" borderId="18" xfId="1" applyFont="1" applyBorder="1" applyAlignment="1" applyProtection="1">
      <alignment horizontal="right"/>
      <protection locked="0"/>
    </xf>
    <xf numFmtId="166" fontId="9" fillId="0" borderId="12" xfId="5" applyNumberFormat="1" applyFont="1" applyFill="1" applyBorder="1" applyAlignment="1" applyProtection="1">
      <alignment horizontal="center"/>
      <protection locked="0"/>
    </xf>
    <xf numFmtId="166" fontId="9" fillId="0" borderId="0" xfId="5" applyNumberFormat="1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center"/>
    </xf>
    <xf numFmtId="0" fontId="15" fillId="0" borderId="5" xfId="0" applyFont="1" applyBorder="1" applyAlignment="1">
      <alignment horizontal="center"/>
    </xf>
    <xf numFmtId="167" fontId="3" fillId="6" borderId="0" xfId="3" applyFont="1" applyFill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20" fillId="0" borderId="35" xfId="0" applyFont="1" applyBorder="1" applyAlignment="1">
      <alignment horizontal="center" vertical="center" wrapText="1"/>
    </xf>
    <xf numFmtId="0" fontId="23" fillId="0" borderId="34" xfId="0" applyFont="1" applyBorder="1" applyAlignment="1">
      <alignment vertical="center" wrapText="1"/>
    </xf>
    <xf numFmtId="0" fontId="23" fillId="0" borderId="33" xfId="0" applyFont="1" applyBorder="1" applyAlignment="1">
      <alignment vertical="center" wrapText="1"/>
    </xf>
    <xf numFmtId="0" fontId="23" fillId="0" borderId="32" xfId="0" applyFont="1" applyBorder="1" applyAlignment="1">
      <alignment vertical="center" wrapText="1"/>
    </xf>
    <xf numFmtId="0" fontId="23" fillId="0" borderId="31" xfId="0" applyFont="1" applyBorder="1" applyAlignment="1">
      <alignment vertical="center" wrapText="1"/>
    </xf>
    <xf numFmtId="0" fontId="23" fillId="0" borderId="30" xfId="0" applyFont="1" applyBorder="1" applyAlignment="1">
      <alignment vertical="center" wrapText="1"/>
    </xf>
    <xf numFmtId="0" fontId="21" fillId="16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0" fillId="0" borderId="0" xfId="0" applyNumberFormat="1"/>
    <xf numFmtId="2" fontId="22" fillId="14" borderId="0" xfId="0" applyNumberFormat="1" applyFont="1" applyFill="1" applyAlignment="1">
      <alignment horizontal="center"/>
    </xf>
    <xf numFmtId="0" fontId="20" fillId="0" borderId="34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</cellXfs>
  <cellStyles count="6">
    <cellStyle name="Bueno" xfId="1" builtinId="26"/>
    <cellStyle name="Hipervínculo" xfId="5" builtinId="8"/>
    <cellStyle name="Normal" xfId="0" builtinId="0"/>
    <cellStyle name="Normal 2" xfId="3" xr:uid="{00000000-0005-0000-0000-000003000000}"/>
    <cellStyle name="Normal 3" xfId="2" xr:uid="{00000000-0005-0000-0000-000004000000}"/>
    <cellStyle name="Normal 3 2 2" xfId="4" xr:uid="{00000000-0005-0000-0000-000005000000}"/>
  </cellStyles>
  <dxfs count="5">
    <dxf>
      <font>
        <color theme="0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61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 San Luis '!$I$26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'Decrementos Múltiples San Luis 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 San Luis '!$I$27:$I$45</c:f>
              <c:numCache>
                <c:formatCode>0.0000</c:formatCode>
                <c:ptCount val="19"/>
                <c:pt idx="0">
                  <c:v>1.4849999999999586E-3</c:v>
                </c:pt>
                <c:pt idx="1">
                  <c:v>1.8740000000000423E-3</c:v>
                </c:pt>
                <c:pt idx="2">
                  <c:v>9.940000000000504E-4</c:v>
                </c:pt>
                <c:pt idx="3">
                  <c:v>1.3379999999999503E-3</c:v>
                </c:pt>
                <c:pt idx="4">
                  <c:v>2.2130000000000205E-3</c:v>
                </c:pt>
                <c:pt idx="5">
                  <c:v>2.4899999999999922E-3</c:v>
                </c:pt>
                <c:pt idx="6">
                  <c:v>3.2229999999999759E-3</c:v>
                </c:pt>
                <c:pt idx="7">
                  <c:v>3.5570000000000324E-3</c:v>
                </c:pt>
                <c:pt idx="8">
                  <c:v>5.3790000000000227E-3</c:v>
                </c:pt>
                <c:pt idx="9">
                  <c:v>8.743999999999974E-3</c:v>
                </c:pt>
                <c:pt idx="10">
                  <c:v>1.2819000000000025E-2</c:v>
                </c:pt>
                <c:pt idx="11">
                  <c:v>1.7939999999999956E-2</c:v>
                </c:pt>
                <c:pt idx="12">
                  <c:v>3.2135000000000025E-2</c:v>
                </c:pt>
                <c:pt idx="13">
                  <c:v>4.4583999999999957E-2</c:v>
                </c:pt>
                <c:pt idx="14">
                  <c:v>6.5961999999999965E-2</c:v>
                </c:pt>
                <c:pt idx="15">
                  <c:v>0.10093099999999999</c:v>
                </c:pt>
                <c:pt idx="16">
                  <c:v>0.15532900000000005</c:v>
                </c:pt>
                <c:pt idx="17">
                  <c:v>0.24559900000000001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7-4C94-A8A0-B924AFD821DA}"/>
            </c:ext>
          </c:extLst>
        </c:ser>
        <c:ser>
          <c:idx val="1"/>
          <c:order val="1"/>
          <c:tx>
            <c:strRef>
              <c:f>'Decrementos Múltiples San Luis '!$M$26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'Decrementos Múltiples San Luis 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 San Luis '!$M$27:$M$45</c:f>
              <c:numCache>
                <c:formatCode>#,##0.0000</c:formatCode>
                <c:ptCount val="19"/>
                <c:pt idx="0">
                  <c:v>1.4849999999999586E-3</c:v>
                </c:pt>
                <c:pt idx="1">
                  <c:v>1.8305880423545862E-3</c:v>
                </c:pt>
                <c:pt idx="2">
                  <c:v>9.940000000000504E-4</c:v>
                </c:pt>
                <c:pt idx="3">
                  <c:v>1.2565556465917727E-3</c:v>
                </c:pt>
                <c:pt idx="4">
                  <c:v>1.8907698461531064E-3</c:v>
                </c:pt>
                <c:pt idx="5">
                  <c:v>2.1459097260541071E-3</c:v>
                </c:pt>
                <c:pt idx="6">
                  <c:v>2.8656107108969708E-3</c:v>
                </c:pt>
                <c:pt idx="7">
                  <c:v>3.3663166642929898E-3</c:v>
                </c:pt>
                <c:pt idx="8">
                  <c:v>5.0258352610309531E-3</c:v>
                </c:pt>
                <c:pt idx="9">
                  <c:v>8.6900064379588082E-3</c:v>
                </c:pt>
                <c:pt idx="10">
                  <c:v>1.2761246387706371E-2</c:v>
                </c:pt>
                <c:pt idx="11">
                  <c:v>1.7813815990688764E-2</c:v>
                </c:pt>
                <c:pt idx="12">
                  <c:v>3.1905688223106687E-2</c:v>
                </c:pt>
                <c:pt idx="13">
                  <c:v>4.4583999999999957E-2</c:v>
                </c:pt>
                <c:pt idx="14">
                  <c:v>6.5961999999999965E-2</c:v>
                </c:pt>
                <c:pt idx="15">
                  <c:v>0.10078944803395129</c:v>
                </c:pt>
                <c:pt idx="16">
                  <c:v>0.15514283433810694</c:v>
                </c:pt>
                <c:pt idx="17">
                  <c:v>0.24514026426933788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07-4C94-A8A0-B924AFD82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 San Luis '!$I$3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1CADE4"/>
              </a:solidFill>
            </a:ln>
          </c:spPr>
          <c:marker>
            <c:symbol val="none"/>
          </c:marker>
          <c:cat>
            <c:numRef>
              <c:f>'Decrementos Múltiples San Luis 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 San Luis '!$I$4:$I$22</c:f>
              <c:numCache>
                <c:formatCode>0.0000</c:formatCode>
                <c:ptCount val="19"/>
                <c:pt idx="0">
                  <c:v>1.8129999999999535E-3</c:v>
                </c:pt>
                <c:pt idx="1">
                  <c:v>2.3819999999999952E-3</c:v>
                </c:pt>
                <c:pt idx="2">
                  <c:v>1.2910000000000421E-3</c:v>
                </c:pt>
                <c:pt idx="3">
                  <c:v>1.6289999999999916E-3</c:v>
                </c:pt>
                <c:pt idx="4">
                  <c:v>6.40099999999999E-3</c:v>
                </c:pt>
                <c:pt idx="5">
                  <c:v>1.0843000000000047E-2</c:v>
                </c:pt>
                <c:pt idx="6">
                  <c:v>1.2773999999999952E-2</c:v>
                </c:pt>
                <c:pt idx="7">
                  <c:v>1.2191999999999981E-2</c:v>
                </c:pt>
                <c:pt idx="8">
                  <c:v>1.4186000000000032E-2</c:v>
                </c:pt>
                <c:pt idx="9">
                  <c:v>1.8593999999999999E-2</c:v>
                </c:pt>
                <c:pt idx="10">
                  <c:v>2.406699999999995E-2</c:v>
                </c:pt>
                <c:pt idx="11">
                  <c:v>3.4834000000000032E-2</c:v>
                </c:pt>
                <c:pt idx="12">
                  <c:v>4.9126000000000003E-2</c:v>
                </c:pt>
                <c:pt idx="13">
                  <c:v>6.3247000000000053E-2</c:v>
                </c:pt>
                <c:pt idx="14">
                  <c:v>8.8641999999999999E-2</c:v>
                </c:pt>
                <c:pt idx="15">
                  <c:v>0.12901499999999999</c:v>
                </c:pt>
                <c:pt idx="16">
                  <c:v>0.18833500000000003</c:v>
                </c:pt>
                <c:pt idx="17">
                  <c:v>0.29305300000000001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A-4F6F-B78E-5993E79049FF}"/>
            </c:ext>
          </c:extLst>
        </c:ser>
        <c:ser>
          <c:idx val="1"/>
          <c:order val="1"/>
          <c:tx>
            <c:strRef>
              <c:f>'Decrementos Múltiples San Luis '!$M$3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rgbClr val="2683C6"/>
              </a:solidFill>
            </a:ln>
          </c:spPr>
          <c:marker>
            <c:symbol val="none"/>
          </c:marker>
          <c:cat>
            <c:numRef>
              <c:f>'Decrementos Múltiples San Luis 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 San Luis '!$M$4:$M$22</c:f>
              <c:numCache>
                <c:formatCode>#,##0.0000</c:formatCode>
                <c:ptCount val="19"/>
                <c:pt idx="0">
                  <c:v>1.8057590603109963E-3</c:v>
                </c:pt>
                <c:pt idx="1">
                  <c:v>2.3819999999999952E-3</c:v>
                </c:pt>
                <c:pt idx="2">
                  <c:v>1.2910000000000421E-3</c:v>
                </c:pt>
                <c:pt idx="3">
                  <c:v>1.5122480672291605E-3</c:v>
                </c:pt>
                <c:pt idx="4">
                  <c:v>4.5742797675863978E-3</c:v>
                </c:pt>
                <c:pt idx="5">
                  <c:v>7.9334239753869884E-3</c:v>
                </c:pt>
                <c:pt idx="6">
                  <c:v>9.0239707345095566E-3</c:v>
                </c:pt>
                <c:pt idx="7">
                  <c:v>8.9765613019413548E-3</c:v>
                </c:pt>
                <c:pt idx="8">
                  <c:v>1.1325704879221798E-2</c:v>
                </c:pt>
                <c:pt idx="9">
                  <c:v>1.6253569984025162E-2</c:v>
                </c:pt>
                <c:pt idx="10">
                  <c:v>2.2145293386781062E-2</c:v>
                </c:pt>
                <c:pt idx="11">
                  <c:v>3.257472902015468E-2</c:v>
                </c:pt>
                <c:pt idx="12">
                  <c:v>4.780506549965291E-2</c:v>
                </c:pt>
                <c:pt idx="13">
                  <c:v>6.2393689473780767E-2</c:v>
                </c:pt>
                <c:pt idx="14">
                  <c:v>8.7683035523078434E-2</c:v>
                </c:pt>
                <c:pt idx="15">
                  <c:v>0.12886738859180535</c:v>
                </c:pt>
                <c:pt idx="16">
                  <c:v>0.1873984564248351</c:v>
                </c:pt>
                <c:pt idx="17">
                  <c:v>0.29207051160321662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A-4F6F-B78E-5993E7904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Esperanza de vida al nacer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'Decrementos Múltiples San Luis '!$Z$27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 San Luis 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 San Luis '!$AA$27:$AB$27</c:f>
              <c:numCache>
                <c:formatCode>0.00</c:formatCode>
                <c:ptCount val="2"/>
                <c:pt idx="0">
                  <c:v>76.478821496084905</c:v>
                </c:pt>
                <c:pt idx="1">
                  <c:v>81.067080490559505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A-4F19-9162-0A8627DF196D}"/>
            </c:ext>
          </c:extLst>
        </c:ser>
        <c:ser>
          <c:idx val="1"/>
          <c:order val="1"/>
          <c:tx>
            <c:strRef>
              <c:f>'Decrementos Múltiples San Luis '!$Z$28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 San Luis 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 San Luis '!$AA$28:$AB$28</c:f>
              <c:numCache>
                <c:formatCode>0.00</c:formatCode>
                <c:ptCount val="2"/>
                <c:pt idx="0">
                  <c:v>75.44</c:v>
                </c:pt>
                <c:pt idx="1">
                  <c:v>80.900000000000006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A-4F19-9162-0A8627DF1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71184"/>
        <c:axId val="1065771544"/>
      </c:barChart>
      <c:catAx>
        <c:axId val="1065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71544"/>
        <c:crosses val="autoZero"/>
        <c:auto val="1"/>
        <c:lblAlgn val="ctr"/>
        <c:lblOffset val="100"/>
        <c:noMultiLvlLbl val="0"/>
      </c:catAx>
      <c:valAx>
        <c:axId val="1065771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5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2.xml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41276</xdr:colOff>
      <xdr:row>2</xdr:row>
      <xdr:rowOff>9715</xdr:rowOff>
    </xdr:from>
    <xdr:ext cx="5696712" cy="4636008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E76C7E35-06E3-4E46-92BC-52C161F1F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349250</xdr:colOff>
      <xdr:row>25</xdr:row>
      <xdr:rowOff>66675</xdr:rowOff>
    </xdr:from>
    <xdr:ext cx="323850" cy="266700"/>
    <xdr:pic>
      <xdr:nvPicPr>
        <xdr:cNvPr id="3" name="image9.png" title="Image">
          <a:extLst>
            <a:ext uri="{FF2B5EF4-FFF2-40B4-BE49-F238E27FC236}">
              <a16:creationId xmlns:a16="http://schemas.microsoft.com/office/drawing/2014/main" id="{4A27FDAB-3990-4FB8-B500-C58359DB85A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6470" y="5050155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25</xdr:row>
      <xdr:rowOff>71438</xdr:rowOff>
    </xdr:from>
    <xdr:ext cx="171450" cy="257175"/>
    <xdr:pic>
      <xdr:nvPicPr>
        <xdr:cNvPr id="4" name="image8.png" title="Image">
          <a:extLst>
            <a:ext uri="{FF2B5EF4-FFF2-40B4-BE49-F238E27FC236}">
              <a16:creationId xmlns:a16="http://schemas.microsoft.com/office/drawing/2014/main" id="{F5195227-125E-4A94-8886-8E2E379A9BB5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36920" y="505491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25</xdr:row>
      <xdr:rowOff>71438</xdr:rowOff>
    </xdr:from>
    <xdr:ext cx="381000" cy="257175"/>
    <xdr:pic>
      <xdr:nvPicPr>
        <xdr:cNvPr id="5" name="image6.png" title="Image">
          <a:extLst>
            <a:ext uri="{FF2B5EF4-FFF2-40B4-BE49-F238E27FC236}">
              <a16:creationId xmlns:a16="http://schemas.microsoft.com/office/drawing/2014/main" id="{53CE4422-2888-4006-B6BA-879A5253957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713220" y="505491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330200</xdr:colOff>
      <xdr:row>25</xdr:row>
      <xdr:rowOff>71438</xdr:rowOff>
    </xdr:from>
    <xdr:ext cx="381000" cy="257175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C6A133B1-0094-4BBB-88E6-9EDF1CFD190D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719820" y="505491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330200</xdr:colOff>
      <xdr:row>25</xdr:row>
      <xdr:rowOff>71438</xdr:rowOff>
    </xdr:from>
    <xdr:ext cx="352425" cy="257175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7AB8284B-BB0B-4635-8FD9-BB034639EC05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710420" y="505491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292100</xdr:colOff>
      <xdr:row>25</xdr:row>
      <xdr:rowOff>66675</xdr:rowOff>
    </xdr:from>
    <xdr:ext cx="476250" cy="266700"/>
    <xdr:pic>
      <xdr:nvPicPr>
        <xdr:cNvPr id="8" name="image5.png" title="Image">
          <a:extLst>
            <a:ext uri="{FF2B5EF4-FFF2-40B4-BE49-F238E27FC236}">
              <a16:creationId xmlns:a16="http://schemas.microsoft.com/office/drawing/2014/main" id="{FD6B097C-66E0-48C1-8816-29F6E7C3E73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662920" y="505015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292100</xdr:colOff>
      <xdr:row>25</xdr:row>
      <xdr:rowOff>66675</xdr:rowOff>
    </xdr:from>
    <xdr:ext cx="390525" cy="266700"/>
    <xdr:pic>
      <xdr:nvPicPr>
        <xdr:cNvPr id="9" name="image4.png" title="Image">
          <a:extLst>
            <a:ext uri="{FF2B5EF4-FFF2-40B4-BE49-F238E27FC236}">
              <a16:creationId xmlns:a16="http://schemas.microsoft.com/office/drawing/2014/main" id="{763A9336-5EFA-4668-80D1-525C853ADC2F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644120" y="505015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292100</xdr:colOff>
      <xdr:row>25</xdr:row>
      <xdr:rowOff>66675</xdr:rowOff>
    </xdr:from>
    <xdr:ext cx="476250" cy="266700"/>
    <xdr:pic>
      <xdr:nvPicPr>
        <xdr:cNvPr id="10" name="image3.png" title="Image">
          <a:extLst>
            <a:ext uri="{FF2B5EF4-FFF2-40B4-BE49-F238E27FC236}">
              <a16:creationId xmlns:a16="http://schemas.microsoft.com/office/drawing/2014/main" id="{A8E9CCE5-213F-4958-A23C-D0CB08915376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625320" y="505015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254000</xdr:colOff>
      <xdr:row>25</xdr:row>
      <xdr:rowOff>66675</xdr:rowOff>
    </xdr:from>
    <xdr:ext cx="428625" cy="266700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B45D0F89-1AD1-4610-8BC7-7D4A5E4522CB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559020" y="505015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</xdr:row>
      <xdr:rowOff>74613</xdr:rowOff>
    </xdr:from>
    <xdr:ext cx="381000" cy="257175"/>
    <xdr:pic>
      <xdr:nvPicPr>
        <xdr:cNvPr id="12" name="image7.png" title="Image">
          <a:extLst>
            <a:ext uri="{FF2B5EF4-FFF2-40B4-BE49-F238E27FC236}">
              <a16:creationId xmlns:a16="http://schemas.microsoft.com/office/drawing/2014/main" id="{692F6832-1496-4719-A40F-8B4587FCD1B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732520" y="45561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74613</xdr:rowOff>
    </xdr:from>
    <xdr:ext cx="352425" cy="257175"/>
    <xdr:pic>
      <xdr:nvPicPr>
        <xdr:cNvPr id="13" name="image2.png" title="Image">
          <a:extLst>
            <a:ext uri="{FF2B5EF4-FFF2-40B4-BE49-F238E27FC236}">
              <a16:creationId xmlns:a16="http://schemas.microsoft.com/office/drawing/2014/main" id="{F86C00D2-9F77-48A3-AAB6-D5680966302F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685020" y="45561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2</xdr:row>
      <xdr:rowOff>69850</xdr:rowOff>
    </xdr:from>
    <xdr:ext cx="323850" cy="266700"/>
    <xdr:pic>
      <xdr:nvPicPr>
        <xdr:cNvPr id="14" name="image9.png" title="Image">
          <a:extLst>
            <a:ext uri="{FF2B5EF4-FFF2-40B4-BE49-F238E27FC236}">
              <a16:creationId xmlns:a16="http://schemas.microsoft.com/office/drawing/2014/main" id="{603BA611-7836-499F-B294-40462E3CE67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08220" y="45085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374650</xdr:colOff>
      <xdr:row>2</xdr:row>
      <xdr:rowOff>74613</xdr:rowOff>
    </xdr:from>
    <xdr:ext cx="171450" cy="257175"/>
    <xdr:pic>
      <xdr:nvPicPr>
        <xdr:cNvPr id="15" name="image8.png" title="Image">
          <a:extLst>
            <a:ext uri="{FF2B5EF4-FFF2-40B4-BE49-F238E27FC236}">
              <a16:creationId xmlns:a16="http://schemas.microsoft.com/office/drawing/2014/main" id="{ADCFA29A-9F53-427A-862F-183B6C9B4C1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92470" y="45561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349250</xdr:colOff>
      <xdr:row>2</xdr:row>
      <xdr:rowOff>74613</xdr:rowOff>
    </xdr:from>
    <xdr:ext cx="381000" cy="257175"/>
    <xdr:pic>
      <xdr:nvPicPr>
        <xdr:cNvPr id="16" name="image6.png" title="Image">
          <a:extLst>
            <a:ext uri="{FF2B5EF4-FFF2-40B4-BE49-F238E27FC236}">
              <a16:creationId xmlns:a16="http://schemas.microsoft.com/office/drawing/2014/main" id="{90388BD8-D800-4580-AE2C-F01DFCB0CBF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757670" y="45561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317500</xdr:colOff>
      <xdr:row>2</xdr:row>
      <xdr:rowOff>57150</xdr:rowOff>
    </xdr:from>
    <xdr:ext cx="476250" cy="266700"/>
    <xdr:pic>
      <xdr:nvPicPr>
        <xdr:cNvPr id="17" name="image5.png" title="Image">
          <a:extLst>
            <a:ext uri="{FF2B5EF4-FFF2-40B4-BE49-F238E27FC236}">
              <a16:creationId xmlns:a16="http://schemas.microsoft.com/office/drawing/2014/main" id="{27E199F6-2DCF-410B-9C65-E7EB47D2EDD2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688320" y="43815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18" name="image4.png" title="Image">
          <a:extLst>
            <a:ext uri="{FF2B5EF4-FFF2-40B4-BE49-F238E27FC236}">
              <a16:creationId xmlns:a16="http://schemas.microsoft.com/office/drawing/2014/main" id="{ED16A706-08FE-449B-8C52-21C4B1DB0022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694920" y="43815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317500</xdr:colOff>
      <xdr:row>2</xdr:row>
      <xdr:rowOff>57150</xdr:rowOff>
    </xdr:from>
    <xdr:ext cx="476250" cy="266700"/>
    <xdr:pic>
      <xdr:nvPicPr>
        <xdr:cNvPr id="19" name="image3.png" title="Image">
          <a:extLst>
            <a:ext uri="{FF2B5EF4-FFF2-40B4-BE49-F238E27FC236}">
              <a16:creationId xmlns:a16="http://schemas.microsoft.com/office/drawing/2014/main" id="{A8A2E9CF-87D2-46BA-832C-FF0802704815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650720" y="43815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317500</xdr:colOff>
      <xdr:row>2</xdr:row>
      <xdr:rowOff>57150</xdr:rowOff>
    </xdr:from>
    <xdr:ext cx="428625" cy="266700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B2C41629-8D3C-42A4-B290-F1C9DC3F2FBA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622520" y="438150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841374</xdr:colOff>
      <xdr:row>2</xdr:row>
      <xdr:rowOff>0</xdr:rowOff>
    </xdr:from>
    <xdr:ext cx="5699126" cy="4635500"/>
    <xdr:graphicFrame macro="">
      <xdr:nvGraphicFramePr>
        <xdr:cNvPr id="21" name="Chart 2" title="Chart">
          <a:extLst>
            <a:ext uri="{FF2B5EF4-FFF2-40B4-BE49-F238E27FC236}">
              <a16:creationId xmlns:a16="http://schemas.microsoft.com/office/drawing/2014/main" id="{F91B822C-53D5-4025-8DFB-C69D2EAFF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26</xdr:col>
      <xdr:colOff>506940</xdr:colOff>
      <xdr:row>29</xdr:row>
      <xdr:rowOff>38100</xdr:rowOff>
    </xdr:from>
    <xdr:to>
      <xdr:col>32</xdr:col>
      <xdr:colOff>736600</xdr:colOff>
      <xdr:row>44</xdr:row>
      <xdr:rowOff>177801</xdr:rowOff>
    </xdr:to>
    <xdr:graphicFrame macro="">
      <xdr:nvGraphicFramePr>
        <xdr:cNvPr id="22" name="Chart 33">
          <a:extLst>
            <a:ext uri="{FF2B5EF4-FFF2-40B4-BE49-F238E27FC236}">
              <a16:creationId xmlns:a16="http://schemas.microsoft.com/office/drawing/2014/main" id="{41613EFA-33CC-4F4D-9B03-A76DCA083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escolmex-my.sharepoint.com/personal/agpena_colmex_mx/Documents/DEP_22_26/2do%20semestre/Demograf&#237;a%20Matem&#225;tica/Tareas/4.%20TV-COVID-2020.xlsx" TargetMode="External"/><Relationship Id="rId1" Type="http://schemas.openxmlformats.org/officeDocument/2006/relationships/externalLinkPath" Target="https://redescolmex-my.sharepoint.com/personal/agpena_colmex_mx/Documents/DEP_22_26/7mo%20semestre/UNAM/Ejercicios/Excel/4.%20TV-COVID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"/>
      <sheetName val="COVID"/>
      <sheetName val="EQ"/>
      <sheetName val="Defunciones"/>
      <sheetName val="TV"/>
    </sheetNames>
    <sheetDataSet>
      <sheetData sheetId="0"/>
      <sheetData sheetId="1">
        <row r="9">
          <cell r="B9">
            <v>208</v>
          </cell>
        </row>
      </sheetData>
      <sheetData sheetId="2"/>
      <sheetData sheetId="3">
        <row r="4">
          <cell r="D4">
            <v>19352</v>
          </cell>
        </row>
      </sheetData>
      <sheetData sheetId="4">
        <row r="4">
          <cell r="G4">
            <v>0.1</v>
          </cell>
        </row>
        <row r="29">
          <cell r="J29">
            <v>100000</v>
          </cell>
          <cell r="M29">
            <v>7544359.8487192011</v>
          </cell>
        </row>
        <row r="47">
          <cell r="M47">
            <v>211789.8627602226</v>
          </cell>
        </row>
        <row r="53">
          <cell r="J53">
            <v>100000</v>
          </cell>
          <cell r="M53">
            <v>6731814.3256840678</v>
          </cell>
        </row>
        <row r="71">
          <cell r="M71">
            <v>91674.680789131889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B5574201-90B8-49E3-A4E8-7BDBA3B23F0C}" autoFormatId="16" applyNumberFormats="0" applyBorderFormats="0" applyFontFormats="0" applyPatternFormats="0" applyAlignmentFormats="0" applyWidthHeightFormats="0">
  <queryTableRefresh nextId="12">
    <queryTableFields count="11">
      <queryTableField id="1" name="year" tableColumnId="1"/>
      <queryTableField id="2" name="sex" tableColumnId="2"/>
      <queryTableField id="3" name="age" tableColumnId="3"/>
      <queryTableField id="4" name="mx" tableColumnId="4"/>
      <queryTableField id="5" name="qx" tableColumnId="5"/>
      <queryTableField id="6" name="ax" tableColumnId="6"/>
      <queryTableField id="7" name="lx" tableColumnId="7"/>
      <queryTableField id="8" name="dx" tableColumnId="8"/>
      <queryTableField id="9" name="Lx.1" tableColumnId="9"/>
      <queryTableField id="10" name="Tx" tableColumnId="10"/>
      <queryTableField id="11" name="ex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3CE90A25-C6FE-4B6A-8A1E-71A00E684303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sex" tableColumnId="2"/>
      <queryTableField id="3" name="age" tableColumnId="3"/>
      <queryTableField id="4" name="death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6AD3526-3178-4F79-A223-492598C1A092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sex" tableColumnId="2"/>
      <queryTableField id="3" name="age" tableColumnId="3"/>
      <queryTableField id="4" name="death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E3717-A59D-49E1-B521-8889F6C66883}" name="lt_sl" displayName="lt_sl" ref="A1:K115" tableType="queryTable" totalsRowShown="0">
  <autoFilter ref="A1:K115" xr:uid="{E00E3717-A59D-49E1-B521-8889F6C66883}">
    <filterColumn colId="0">
      <filters>
        <filter val="2019"/>
      </filters>
    </filterColumn>
    <filterColumn colId="1">
      <filters>
        <filter val="m"/>
      </filters>
    </filterColumn>
  </autoFilter>
  <tableColumns count="11">
    <tableColumn id="1" xr3:uid="{63E4073A-3225-4147-AF34-8A13685BA4B2}" uniqueName="1" name="year" queryTableFieldId="1"/>
    <tableColumn id="2" xr3:uid="{3575A9E3-C71B-41C6-9646-F1E612EC18F2}" uniqueName="2" name="sex" queryTableFieldId="2" dataDxfId="4"/>
    <tableColumn id="3" xr3:uid="{2E70E55D-3D2D-45EE-A522-6FB6FF9701E2}" uniqueName="3" name="age" queryTableFieldId="3"/>
    <tableColumn id="4" xr3:uid="{522F8E7A-FC5D-4960-AC1A-7621B56A4132}" uniqueName="4" name="mx" queryTableFieldId="4"/>
    <tableColumn id="5" xr3:uid="{0CE9121F-1A3B-47EE-B57C-389189613284}" uniqueName="5" name="qx" queryTableFieldId="5"/>
    <tableColumn id="6" xr3:uid="{3181CC83-2349-4E8F-8279-944BF9D67B9F}" uniqueName="6" name="ax" queryTableFieldId="6" dataDxfId="3"/>
    <tableColumn id="7" xr3:uid="{FD53B6ED-E735-40AD-AAFE-1B81447A9A8E}" uniqueName="7" name="lx" queryTableFieldId="7"/>
    <tableColumn id="8" xr3:uid="{3B08D955-0F7A-400A-AE99-1B5050B2D251}" uniqueName="8" name="dx" queryTableFieldId="8"/>
    <tableColumn id="9" xr3:uid="{D293FE9E-744E-40D8-8CD4-A913AB6D973A}" uniqueName="9" name="Lx.1" queryTableFieldId="9"/>
    <tableColumn id="10" xr3:uid="{ECF6036D-7B69-4634-81FA-306CF59B3B6D}" uniqueName="10" name="Tx" queryTableFieldId="10"/>
    <tableColumn id="11" xr3:uid="{06854CF2-35B1-4650-A252-496D15708885}" uniqueName="11" name="ex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EF4905-6F3B-44A5-8883-A4D8418E325B}" name="def_sl" displayName="def_sl" ref="A1:D153" tableType="queryTable" totalsRowShown="0">
  <autoFilter ref="A1:D153" xr:uid="{DAEF4905-6F3B-44A5-8883-A4D8418E325B}">
    <filterColumn colId="0">
      <filters>
        <filter val="2019"/>
      </filters>
    </filterColumn>
    <filterColumn colId="1">
      <filters>
        <filter val="female"/>
      </filters>
    </filterColumn>
  </autoFilter>
  <tableColumns count="4">
    <tableColumn id="1" xr3:uid="{4C5CE687-C277-4074-A335-2A9C882C2F3A}" uniqueName="1" name="year" queryTableFieldId="1"/>
    <tableColumn id="2" xr3:uid="{F4849E03-9A7C-4186-929E-345275F100B2}" uniqueName="2" name="sex" queryTableFieldId="2" dataDxfId="1"/>
    <tableColumn id="3" xr3:uid="{CAE5A275-D9A8-4501-AAD6-EDA7FA390D19}" uniqueName="3" name="age" queryTableFieldId="3"/>
    <tableColumn id="4" xr3:uid="{A7FA919F-A030-41D2-9A62-5C4FD69F378D}" uniqueName="4" name="death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6A5423-644D-45C8-95B4-69B8617E593F}" name="def_pro_homicidios_sl" displayName="def_pro_homicidios_sl" ref="A1:D955" tableType="queryTable" totalsRowShown="0">
  <autoFilter ref="A1:D955" xr:uid="{496A5423-644D-45C8-95B4-69B8617E593F}">
    <filterColumn colId="0">
      <filters>
        <filter val="2019"/>
      </filters>
    </filterColumn>
    <filterColumn colId="1">
      <filters>
        <filter val="female"/>
      </filters>
    </filterColumn>
  </autoFilter>
  <tableColumns count="4">
    <tableColumn id="1" xr3:uid="{AF0FBC7A-E782-47BF-84A8-861B57CC3DBA}" uniqueName="1" name="year" queryTableFieldId="1"/>
    <tableColumn id="2" xr3:uid="{33D51C53-B3D6-42D1-870A-A49FF9FD90B3}" uniqueName="2" name="sex" queryTableFieldId="2" dataDxfId="2"/>
    <tableColumn id="3" xr3:uid="{6E222901-A1BD-4161-BE26-1E79B74C3E7A}" uniqueName="3" name="age" queryTableFieldId="3"/>
    <tableColumn id="4" xr3:uid="{32ABDC46-E1D8-40B4-ABAD-917D6412DB2A}" uniqueName="4" name="death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emographicestimation.iussp.org/content/indirect-estimation-child-mortalit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showRowColHeaders="0" topLeftCell="A4" workbookViewId="0">
      <selection activeCell="A4" sqref="A4:B4"/>
    </sheetView>
  </sheetViews>
  <sheetFormatPr baseColWidth="10" defaultColWidth="8.77734375" defaultRowHeight="15.6" x14ac:dyDescent="0.3"/>
  <cols>
    <col min="1" max="1" width="4" customWidth="1"/>
    <col min="2" max="2" width="75.109375" customWidth="1"/>
    <col min="3" max="3" width="27.77734375" style="7" customWidth="1"/>
    <col min="4" max="5" width="8.44140625" style="7" customWidth="1"/>
    <col min="6" max="6" width="8.77734375" style="7" customWidth="1"/>
  </cols>
  <sheetData>
    <row r="1" spans="1:6" ht="41.25" customHeight="1" x14ac:dyDescent="0.3">
      <c r="A1" s="147" t="s">
        <v>78</v>
      </c>
      <c r="B1" s="148"/>
    </row>
    <row r="3" spans="1:6" x14ac:dyDescent="0.3">
      <c r="A3" s="11" t="s">
        <v>67</v>
      </c>
      <c r="B3" s="11"/>
    </row>
    <row r="4" spans="1:6" x14ac:dyDescent="0.3">
      <c r="A4" s="156" t="s">
        <v>91</v>
      </c>
      <c r="B4" s="157"/>
      <c r="C4" s="18"/>
    </row>
    <row r="5" spans="1:6" x14ac:dyDescent="0.3">
      <c r="A5" s="1"/>
      <c r="B5" s="2"/>
    </row>
    <row r="6" spans="1:6" ht="50.25" customHeight="1" x14ac:dyDescent="0.3">
      <c r="A6" s="149" t="s">
        <v>69</v>
      </c>
      <c r="B6" s="149"/>
    </row>
    <row r="7" spans="1:6" x14ac:dyDescent="0.3">
      <c r="A7" s="1"/>
      <c r="B7" s="2"/>
    </row>
    <row r="8" spans="1:6" ht="16.2" thickBot="1" x14ac:dyDescent="0.35">
      <c r="A8" s="3" t="s">
        <v>68</v>
      </c>
      <c r="B8" s="2"/>
    </row>
    <row r="9" spans="1:6" x14ac:dyDescent="0.3">
      <c r="A9" s="4">
        <v>1</v>
      </c>
      <c r="B9" s="5" t="s">
        <v>70</v>
      </c>
      <c r="C9" s="8" t="s">
        <v>50</v>
      </c>
      <c r="D9" s="137" t="s">
        <v>94</v>
      </c>
      <c r="E9" s="137"/>
      <c r="F9" s="138" t="s">
        <v>66</v>
      </c>
    </row>
    <row r="10" spans="1:6" x14ac:dyDescent="0.3">
      <c r="A10" s="6"/>
      <c r="B10" s="2"/>
      <c r="C10" s="9"/>
      <c r="D10" s="139"/>
      <c r="E10" s="139"/>
      <c r="F10" s="140"/>
    </row>
    <row r="11" spans="1:6" ht="16.2" thickBot="1" x14ac:dyDescent="0.35">
      <c r="A11" s="2">
        <v>2</v>
      </c>
      <c r="B11" s="2" t="s">
        <v>71</v>
      </c>
      <c r="C11" s="10" t="s">
        <v>49</v>
      </c>
      <c r="D11" s="141">
        <v>43891</v>
      </c>
      <c r="E11" s="141"/>
      <c r="F11" s="142">
        <v>39617</v>
      </c>
    </row>
    <row r="12" spans="1:6" x14ac:dyDescent="0.3">
      <c r="A12" s="6"/>
      <c r="B12" s="2"/>
    </row>
    <row r="13" spans="1:6" ht="16.2" thickBot="1" x14ac:dyDescent="0.35">
      <c r="A13" s="6"/>
      <c r="B13" s="2"/>
    </row>
    <row r="14" spans="1:6" ht="16.2" thickBot="1" x14ac:dyDescent="0.35">
      <c r="A14" s="5">
        <v>3</v>
      </c>
      <c r="B14" s="2" t="s">
        <v>77</v>
      </c>
      <c r="C14" s="12" t="s">
        <v>73</v>
      </c>
      <c r="D14" s="143" t="s">
        <v>26</v>
      </c>
      <c r="E14" s="143"/>
      <c r="F14" s="144"/>
    </row>
    <row r="16" spans="1:6" ht="16.2" thickBot="1" x14ac:dyDescent="0.35">
      <c r="D16" s="14"/>
      <c r="E16" s="14"/>
      <c r="F16" s="14"/>
    </row>
    <row r="17" spans="1:6" x14ac:dyDescent="0.3">
      <c r="A17" s="1">
        <v>4</v>
      </c>
      <c r="B17" s="2" t="s">
        <v>72</v>
      </c>
      <c r="C17" s="8" t="s">
        <v>74</v>
      </c>
      <c r="D17" s="145" t="s">
        <v>7</v>
      </c>
      <c r="E17" s="145"/>
      <c r="F17" s="146"/>
    </row>
    <row r="18" spans="1:6" x14ac:dyDescent="0.3">
      <c r="C18" s="9" t="s">
        <v>75</v>
      </c>
      <c r="D18" s="150" t="s">
        <v>44</v>
      </c>
      <c r="E18" s="150"/>
      <c r="F18" s="151"/>
    </row>
    <row r="19" spans="1:6" ht="7.5" customHeight="1" x14ac:dyDescent="0.3">
      <c r="C19" s="13"/>
      <c r="F19" s="17"/>
    </row>
    <row r="20" spans="1:6" x14ac:dyDescent="0.3">
      <c r="C20" s="15" t="s">
        <v>54</v>
      </c>
      <c r="D20" s="154" t="s">
        <v>57</v>
      </c>
      <c r="E20" s="154"/>
      <c r="F20" s="155"/>
    </row>
    <row r="21" spans="1:6" ht="16.2" thickBot="1" x14ac:dyDescent="0.35">
      <c r="C21" s="16" t="s">
        <v>61</v>
      </c>
      <c r="D21" s="152">
        <v>28</v>
      </c>
      <c r="E21" s="152"/>
      <c r="F21" s="153"/>
    </row>
    <row r="23" spans="1:6" ht="30.75" customHeight="1" x14ac:dyDescent="0.3">
      <c r="A23" s="25">
        <v>5</v>
      </c>
      <c r="B23" s="2" t="s">
        <v>92</v>
      </c>
      <c r="C23" s="136" t="str">
        <f>IF(ISNA(VLOOKUP(VALUE(RIGHT(Coefficients!AM5,3)),Coefficients!$AI$34:$AI$50,1,FALSE)),"INVALID SELECTION - Please ensure that your choice of variant; family and pattern are consistent.","")</f>
        <v/>
      </c>
      <c r="D23" s="136"/>
      <c r="E23" s="136"/>
      <c r="F23" s="136"/>
    </row>
    <row r="24" spans="1:6" x14ac:dyDescent="0.3">
      <c r="A24" s="1"/>
      <c r="B24" s="2"/>
      <c r="C24" s="19"/>
      <c r="D24" s="19"/>
      <c r="E24" s="19"/>
      <c r="F24" s="19"/>
    </row>
    <row r="25" spans="1:6" ht="30.6" x14ac:dyDescent="0.3">
      <c r="A25" s="25">
        <v>6</v>
      </c>
      <c r="B25" s="2" t="s">
        <v>93</v>
      </c>
      <c r="C25" s="19"/>
      <c r="D25" s="19"/>
      <c r="E25" s="19"/>
      <c r="F25" s="19"/>
    </row>
    <row r="26" spans="1:6" x14ac:dyDescent="0.3">
      <c r="A26" s="1"/>
      <c r="B26" s="2"/>
    </row>
    <row r="27" spans="1:6" x14ac:dyDescent="0.3">
      <c r="A27" s="3" t="s">
        <v>79</v>
      </c>
      <c r="B27" s="2"/>
    </row>
    <row r="28" spans="1:6" ht="31.2" x14ac:dyDescent="0.3">
      <c r="A28" s="1"/>
      <c r="B28" s="2" t="s">
        <v>80</v>
      </c>
    </row>
    <row r="29" spans="1:6" ht="31.2" x14ac:dyDescent="0.3">
      <c r="A29" s="1"/>
      <c r="B29" s="2" t="s">
        <v>81</v>
      </c>
    </row>
    <row r="30" spans="1:6" x14ac:dyDescent="0.3">
      <c r="A30" s="1"/>
      <c r="B30" s="2"/>
    </row>
    <row r="31" spans="1:6" x14ac:dyDescent="0.3">
      <c r="A31" s="1"/>
      <c r="B31" s="2"/>
    </row>
    <row r="32" spans="1:6" x14ac:dyDescent="0.3">
      <c r="A32" s="1"/>
      <c r="B32" s="2"/>
    </row>
    <row r="33" spans="1:2" x14ac:dyDescent="0.3">
      <c r="A33" s="1"/>
      <c r="B33" s="2"/>
    </row>
    <row r="34" spans="1:2" x14ac:dyDescent="0.3">
      <c r="A34" s="1"/>
      <c r="B34" s="2"/>
    </row>
    <row r="35" spans="1:2" x14ac:dyDescent="0.3">
      <c r="A35" s="1"/>
      <c r="B35" s="2"/>
    </row>
  </sheetData>
  <sheetProtection sheet="1" objects="1" scenarios="1" selectLockedCells="1"/>
  <mergeCells count="12">
    <mergeCell ref="A1:B1"/>
    <mergeCell ref="A6:B6"/>
    <mergeCell ref="D18:F18"/>
    <mergeCell ref="D21:F21"/>
    <mergeCell ref="D20:F20"/>
    <mergeCell ref="A4:B4"/>
    <mergeCell ref="C23:F23"/>
    <mergeCell ref="D9:F9"/>
    <mergeCell ref="D10:F10"/>
    <mergeCell ref="D11:F11"/>
    <mergeCell ref="D14:F14"/>
    <mergeCell ref="D17:F17"/>
  </mergeCells>
  <conditionalFormatting sqref="C21:D21">
    <cfRule type="expression" dxfId="0" priority="1">
      <formula>FamSelect=1</formula>
    </cfRule>
  </conditionalFormatting>
  <dataValidations xWindow="930" yWindow="429" count="7">
    <dataValidation type="list" allowBlank="1" showInputMessage="1" showErrorMessage="1" sqref="D17" xr:uid="{00000000-0002-0000-0000-000000000000}">
      <formula1>Family</formula1>
    </dataValidation>
    <dataValidation type="date" showInputMessage="1" showErrorMessage="1" sqref="F11" xr:uid="{00000000-0002-0000-0000-000001000000}">
      <formula1>18264</formula1>
      <formula2>54788</formula2>
    </dataValidation>
    <dataValidation type="list" allowBlank="1" showInputMessage="1" showErrorMessage="1" sqref="D20" xr:uid="{00000000-0002-0000-0000-000002000000}">
      <formula1>Sex</formula1>
    </dataValidation>
    <dataValidation type="decimal" allowBlank="1" showInputMessage="1" showErrorMessage="1" sqref="F25" xr:uid="{00000000-0002-0000-0000-000003000000}">
      <formula1>99</formula1>
      <formula2>110</formula2>
    </dataValidation>
    <dataValidation type="list" allowBlank="1" showInputMessage="1" showErrorMessage="1" promptTitle="Variant of method" prompt="Usually this is by age of mother; but models based on duration since first birth, or duration since marriage can also be fitted. The last two models can be fitted ONLY using the Princeton life tables." sqref="D14:F14" xr:uid="{00000000-0002-0000-0000-000004000000}">
      <formula1>Variant</formula1>
    </dataValidation>
    <dataValidation type="list" showInputMessage="1" showErrorMessage="1" sqref="D18:F18" xr:uid="{00000000-0002-0000-0000-000005000000}">
      <formula1>IF(FamSelect=1,Princeton,UN)</formula1>
    </dataValidation>
    <dataValidation type="list" showDropDown="1" showInputMessage="1" showErrorMessage="1" sqref="A4" xr:uid="{00000000-0002-0000-0000-000006000000}">
      <formula1>"http://demographicestimation.iussp.org/content/indirect-estimation-child-mortality"</formula1>
    </dataValidation>
  </dataValidations>
  <hyperlinks>
    <hyperlink ref="A4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01"/>
  <sheetViews>
    <sheetView topLeftCell="AE1" workbookViewId="0">
      <pane ySplit="3" topLeftCell="A4" activePane="bottomLeft" state="frozenSplit"/>
      <selection pane="bottomLeft" activeCell="AM10" sqref="AM10"/>
    </sheetView>
  </sheetViews>
  <sheetFormatPr baseColWidth="10" defaultColWidth="9.109375" defaultRowHeight="12.75" customHeight="1" x14ac:dyDescent="0.25"/>
  <cols>
    <col min="1" max="1" width="8.44140625" style="20" customWidth="1"/>
    <col min="2" max="2" width="3" style="20" bestFit="1" customWidth="1"/>
    <col min="3" max="6" width="8.44140625" style="20" customWidth="1"/>
    <col min="7" max="7" width="1.44140625" style="20" customWidth="1"/>
    <col min="8" max="10" width="8.44140625" style="20" customWidth="1"/>
    <col min="11" max="11" width="2.77734375" style="20" customWidth="1"/>
    <col min="12" max="12" width="8.44140625" style="20" bestFit="1" customWidth="1"/>
    <col min="13" max="13" width="3" style="20" bestFit="1" customWidth="1"/>
    <col min="14" max="16" width="8.44140625" style="20" customWidth="1"/>
    <col min="17" max="18" width="1.44140625" style="20" customWidth="1"/>
    <col min="19" max="21" width="8.44140625" style="20" customWidth="1"/>
    <col min="22" max="22" width="2.77734375" style="20" customWidth="1"/>
    <col min="23" max="23" width="8.44140625" style="20" bestFit="1" customWidth="1"/>
    <col min="24" max="24" width="3" style="20" bestFit="1" customWidth="1"/>
    <col min="25" max="27" width="8.44140625" style="20" customWidth="1"/>
    <col min="28" max="29" width="1.44140625" style="20" customWidth="1"/>
    <col min="30" max="32" width="8.44140625" style="20" customWidth="1"/>
    <col min="33" max="33" width="9.109375" style="20"/>
    <col min="34" max="34" width="3.109375" style="20" customWidth="1"/>
    <col min="35" max="35" width="22.77734375" style="20" bestFit="1" customWidth="1"/>
    <col min="36" max="36" width="9.109375" style="20"/>
    <col min="37" max="37" width="3.109375" style="20" customWidth="1"/>
    <col min="38" max="38" width="2" style="20" bestFit="1" customWidth="1"/>
    <col min="39" max="39" width="8.109375" style="20" customWidth="1"/>
    <col min="40" max="40" width="8.77734375" style="20" bestFit="1" customWidth="1"/>
    <col min="41" max="42" width="8.109375" style="20" customWidth="1"/>
    <col min="43" max="43" width="1.44140625" style="20" customWidth="1"/>
    <col min="44" max="46" width="8.109375" style="20" customWidth="1"/>
    <col min="47" max="16384" width="9.109375" style="20"/>
  </cols>
  <sheetData>
    <row r="1" spans="1:48" s="24" customFormat="1" ht="15" customHeight="1" x14ac:dyDescent="0.25">
      <c r="A1" s="158" t="s">
        <v>27</v>
      </c>
      <c r="B1" s="158"/>
      <c r="C1" s="158"/>
      <c r="D1" s="158"/>
      <c r="E1" s="158"/>
      <c r="F1" s="158"/>
      <c r="G1" s="158"/>
      <c r="H1" s="158"/>
      <c r="I1" s="158"/>
      <c r="J1" s="158"/>
      <c r="L1" s="158" t="s">
        <v>83</v>
      </c>
      <c r="M1" s="158"/>
      <c r="N1" s="158"/>
      <c r="O1" s="158"/>
      <c r="P1" s="158"/>
      <c r="Q1" s="158"/>
      <c r="R1" s="158"/>
      <c r="S1" s="158"/>
      <c r="T1" s="158"/>
      <c r="U1" s="158"/>
      <c r="W1" s="158" t="s">
        <v>84</v>
      </c>
      <c r="X1" s="158"/>
      <c r="Y1" s="158"/>
      <c r="Z1" s="158"/>
      <c r="AA1" s="158"/>
      <c r="AB1" s="158"/>
      <c r="AC1" s="158"/>
      <c r="AD1" s="158"/>
      <c r="AE1" s="158"/>
      <c r="AF1" s="158"/>
    </row>
    <row r="2" spans="1:48" s="24" customFormat="1" ht="15" customHeight="1" x14ac:dyDescent="0.25"/>
    <row r="3" spans="1:48" s="24" customFormat="1" ht="15" customHeight="1" x14ac:dyDescent="0.25">
      <c r="C3" s="158" t="s">
        <v>15</v>
      </c>
      <c r="D3" s="158"/>
      <c r="E3" s="158"/>
      <c r="H3" s="158" t="s">
        <v>16</v>
      </c>
      <c r="I3" s="158"/>
      <c r="J3" s="158"/>
      <c r="N3" s="158" t="s">
        <v>15</v>
      </c>
      <c r="O3" s="158"/>
      <c r="P3" s="158"/>
      <c r="S3" s="158" t="s">
        <v>16</v>
      </c>
      <c r="T3" s="158"/>
      <c r="U3" s="158"/>
      <c r="Y3" s="158" t="s">
        <v>15</v>
      </c>
      <c r="Z3" s="158"/>
      <c r="AA3" s="158"/>
      <c r="AD3" s="158" t="s">
        <v>16</v>
      </c>
      <c r="AE3" s="158"/>
      <c r="AF3" s="158"/>
    </row>
    <row r="4" spans="1:48" s="24" customFormat="1" ht="15" customHeight="1" x14ac:dyDescent="0.25">
      <c r="A4" s="158" t="s">
        <v>17</v>
      </c>
      <c r="B4" s="158"/>
      <c r="C4" s="158"/>
      <c r="D4" s="158"/>
      <c r="E4" s="158"/>
      <c r="F4" s="158"/>
      <c r="G4" s="158"/>
      <c r="H4" s="158"/>
      <c r="I4" s="158"/>
      <c r="J4" s="159"/>
      <c r="L4" s="34"/>
      <c r="M4" s="47"/>
      <c r="N4" s="161" t="s">
        <v>17</v>
      </c>
      <c r="O4" s="161"/>
      <c r="P4" s="161"/>
      <c r="Q4" s="161"/>
      <c r="R4" s="161"/>
      <c r="S4" s="161"/>
      <c r="T4" s="161"/>
      <c r="U4" s="162"/>
      <c r="W4" s="34"/>
      <c r="X4" s="47"/>
      <c r="Y4" s="161" t="s">
        <v>17</v>
      </c>
      <c r="Z4" s="161"/>
      <c r="AA4" s="161"/>
      <c r="AB4" s="161"/>
      <c r="AC4" s="161"/>
      <c r="AD4" s="161"/>
      <c r="AE4" s="161"/>
      <c r="AF4" s="162"/>
      <c r="AG4" s="30"/>
      <c r="AM4" s="31"/>
      <c r="AN4" s="31"/>
      <c r="AO4" s="31"/>
      <c r="AP4" s="32"/>
      <c r="AQ4" s="33"/>
      <c r="AR4" s="31"/>
      <c r="AS4" s="31"/>
      <c r="AT4" s="31"/>
    </row>
    <row r="5" spans="1:48" s="24" customFormat="1" ht="15" customHeight="1" x14ac:dyDescent="0.25">
      <c r="A5" s="51" t="s">
        <v>53</v>
      </c>
      <c r="B5" s="52" t="s">
        <v>28</v>
      </c>
      <c r="C5" s="26" t="s">
        <v>8</v>
      </c>
      <c r="D5" s="26" t="s">
        <v>9</v>
      </c>
      <c r="E5" s="26" t="s">
        <v>10</v>
      </c>
      <c r="F5" s="26" t="s">
        <v>11</v>
      </c>
      <c r="G5" s="26"/>
      <c r="H5" s="26" t="s">
        <v>12</v>
      </c>
      <c r="I5" s="26" t="s">
        <v>13</v>
      </c>
      <c r="J5" s="53" t="s">
        <v>14</v>
      </c>
      <c r="L5" s="51" t="s">
        <v>82</v>
      </c>
      <c r="M5" s="52" t="s">
        <v>28</v>
      </c>
      <c r="N5" s="26" t="s">
        <v>8</v>
      </c>
      <c r="O5" s="26" t="s">
        <v>9</v>
      </c>
      <c r="P5" s="26" t="s">
        <v>10</v>
      </c>
      <c r="Q5" s="26"/>
      <c r="R5" s="26"/>
      <c r="S5" s="26" t="s">
        <v>12</v>
      </c>
      <c r="T5" s="26" t="s">
        <v>13</v>
      </c>
      <c r="U5" s="53" t="s">
        <v>14</v>
      </c>
      <c r="W5" s="51" t="s">
        <v>82</v>
      </c>
      <c r="X5" s="52" t="s">
        <v>28</v>
      </c>
      <c r="Y5" s="26" t="s">
        <v>8</v>
      </c>
      <c r="Z5" s="26" t="s">
        <v>9</v>
      </c>
      <c r="AA5" s="26" t="s">
        <v>10</v>
      </c>
      <c r="AB5" s="26"/>
      <c r="AC5" s="26"/>
      <c r="AD5" s="26" t="s">
        <v>12</v>
      </c>
      <c r="AE5" s="26" t="s">
        <v>13</v>
      </c>
      <c r="AF5" s="53" t="s">
        <v>14</v>
      </c>
      <c r="AH5" s="160" t="str">
        <f>Introduction!D9&amp;" "&amp;TEXT(YEAR(Introduction!D11),"####")</f>
        <v>México 2020</v>
      </c>
      <c r="AI5" s="160"/>
      <c r="AJ5" s="160"/>
      <c r="AL5" s="20"/>
      <c r="AM5" s="158" t="str">
        <f>"Coeffs_"&amp;TEXT(100*AJ8+10*AJ12+AJ23,0)</f>
        <v>Coeffs_141</v>
      </c>
      <c r="AN5" s="158"/>
      <c r="AO5" s="158"/>
      <c r="AP5" s="158"/>
      <c r="AQ5" s="158"/>
      <c r="AR5" s="158"/>
      <c r="AS5" s="158"/>
      <c r="AT5" s="158"/>
      <c r="AU5" s="158"/>
      <c r="AV5" s="158"/>
    </row>
    <row r="6" spans="1:48" ht="12.75" customHeight="1" x14ac:dyDescent="0.25">
      <c r="A6" s="36" t="s">
        <v>0</v>
      </c>
      <c r="B6" s="20">
        <v>1</v>
      </c>
      <c r="C6" s="20">
        <v>1.1119000000000001</v>
      </c>
      <c r="D6" s="20">
        <v>-2.9287000000000001</v>
      </c>
      <c r="E6" s="20">
        <v>0.85070000000000001</v>
      </c>
      <c r="H6" s="21">
        <v>1.0921000000000001</v>
      </c>
      <c r="I6" s="21">
        <v>5.4732000000000003</v>
      </c>
      <c r="J6" s="37">
        <v>-1.9672000000000001</v>
      </c>
      <c r="L6" s="36" t="s">
        <v>29</v>
      </c>
      <c r="M6" s="20">
        <v>2</v>
      </c>
      <c r="N6" s="21">
        <v>1.198</v>
      </c>
      <c r="O6" s="21">
        <v>-0.12659999999999999</v>
      </c>
      <c r="P6" s="21">
        <v>3.8E-3</v>
      </c>
      <c r="Q6" s="21"/>
      <c r="S6" s="21">
        <v>1.71</v>
      </c>
      <c r="T6" s="21">
        <v>1.07</v>
      </c>
      <c r="U6" s="37">
        <v>-0.35</v>
      </c>
      <c r="W6" s="36" t="s">
        <v>29</v>
      </c>
      <c r="X6" s="20">
        <v>2</v>
      </c>
      <c r="Y6" s="20">
        <v>1.2615000000000001</v>
      </c>
      <c r="Z6" s="20">
        <v>-0.53400000000000003</v>
      </c>
      <c r="AA6" s="20">
        <v>0.12520000000000001</v>
      </c>
      <c r="AD6" s="20">
        <v>1.0310999999999999</v>
      </c>
      <c r="AE6" s="20">
        <v>1.3149</v>
      </c>
      <c r="AF6" s="42">
        <v>-0.32819999999999999</v>
      </c>
      <c r="AH6" s="54" t="s">
        <v>49</v>
      </c>
      <c r="AI6" s="54"/>
      <c r="AJ6" s="58">
        <f>YEAR(Introduction!D11)+YEARFRAC(DATE(YEAR(Introduction!D11)-1,12,31), Introduction!D11,1)</f>
        <v>2020.1666666666667</v>
      </c>
      <c r="AL6" s="45"/>
      <c r="AM6" s="59">
        <v>0</v>
      </c>
      <c r="AN6" s="60">
        <v>1</v>
      </c>
      <c r="AO6" s="61">
        <v>2</v>
      </c>
      <c r="AP6" s="61">
        <v>3</v>
      </c>
      <c r="AQ6" s="61"/>
      <c r="AR6" s="61">
        <v>5</v>
      </c>
      <c r="AS6" s="61">
        <v>6</v>
      </c>
      <c r="AT6" s="61">
        <v>7</v>
      </c>
      <c r="AU6" s="45"/>
      <c r="AV6" s="45" t="s">
        <v>51</v>
      </c>
    </row>
    <row r="7" spans="1:48" ht="12.75" customHeight="1" x14ac:dyDescent="0.25">
      <c r="A7" s="36" t="s">
        <v>1</v>
      </c>
      <c r="B7" s="20">
        <v>2</v>
      </c>
      <c r="C7" s="20">
        <v>1.2390000000000001</v>
      </c>
      <c r="D7" s="20">
        <v>-0.6865</v>
      </c>
      <c r="E7" s="20">
        <v>-0.27450000000000002</v>
      </c>
      <c r="H7" s="21">
        <v>1.3207</v>
      </c>
      <c r="I7" s="21">
        <v>5.3750999999999998</v>
      </c>
      <c r="J7" s="37">
        <v>0.21329999999999999</v>
      </c>
      <c r="L7" s="36" t="s">
        <v>30</v>
      </c>
      <c r="M7" s="20">
        <v>5</v>
      </c>
      <c r="N7" s="21">
        <v>1.2248000000000001</v>
      </c>
      <c r="O7" s="21">
        <v>-0.19189999999999999</v>
      </c>
      <c r="P7" s="21">
        <v>-8.6999999999999994E-2</v>
      </c>
      <c r="Q7" s="21"/>
      <c r="S7" s="21">
        <v>2.16</v>
      </c>
      <c r="T7" s="21">
        <v>4.3600000000000003</v>
      </c>
      <c r="U7" s="37">
        <v>0.12</v>
      </c>
      <c r="W7" s="36" t="s">
        <v>30</v>
      </c>
      <c r="X7" s="20">
        <v>3</v>
      </c>
      <c r="Y7" s="20">
        <v>1.1957</v>
      </c>
      <c r="Z7" s="20">
        <v>-0.4103</v>
      </c>
      <c r="AA7" s="20">
        <v>-9.2999999999999999E-2</v>
      </c>
      <c r="AD7" s="20">
        <v>1.6963999999999999</v>
      </c>
      <c r="AE7" s="20">
        <v>4.5147000000000004</v>
      </c>
      <c r="AF7" s="42">
        <v>-1.6E-2</v>
      </c>
      <c r="AH7" s="54"/>
      <c r="AI7" s="54"/>
      <c r="AJ7" s="54"/>
      <c r="AL7" s="20">
        <v>0</v>
      </c>
      <c r="AM7" s="28">
        <f t="shared" ref="AM7:AP13" ca="1" si="0">OFFSET(INDIRECT($AM$5),$AL7,AM$6)</f>
        <v>1.1415</v>
      </c>
      <c r="AN7" s="28">
        <f t="shared" ca="1" si="0"/>
        <v>-2.7069999999999999</v>
      </c>
      <c r="AO7" s="28">
        <f t="shared" ca="1" si="0"/>
        <v>0.76629999999999998</v>
      </c>
      <c r="AP7" s="28">
        <f t="shared" ca="1" si="0"/>
        <v>0</v>
      </c>
      <c r="AQ7" s="28"/>
      <c r="AR7" s="28">
        <f t="shared" ref="AR7:AT13" ca="1" si="1">OFFSET(INDIRECT($AM$5),$AL7,AR$6)</f>
        <v>1.097</v>
      </c>
      <c r="AS7" s="28">
        <f t="shared" ca="1" si="1"/>
        <v>5.5628000000000002</v>
      </c>
      <c r="AT7" s="28">
        <f t="shared" ca="1" si="1"/>
        <v>-1.9956</v>
      </c>
      <c r="AV7" s="29">
        <f t="shared" ref="AV7:AV13" ca="1" si="2">OFFSET(INDIRECT($AM$5),AL7,-1)</f>
        <v>1</v>
      </c>
    </row>
    <row r="8" spans="1:48" ht="12.75" customHeight="1" x14ac:dyDescent="0.25">
      <c r="A8" s="36" t="s">
        <v>2</v>
      </c>
      <c r="B8" s="20">
        <v>3</v>
      </c>
      <c r="C8" s="20">
        <v>1.1883999999999999</v>
      </c>
      <c r="D8" s="20">
        <v>4.2099999999999999E-2</v>
      </c>
      <c r="E8" s="20">
        <v>-0.51559999999999995</v>
      </c>
      <c r="H8" s="21">
        <v>1.5995999999999999</v>
      </c>
      <c r="I8" s="21">
        <v>2.6267999999999998</v>
      </c>
      <c r="J8" s="37">
        <v>4.3700999999999999</v>
      </c>
      <c r="L8" s="36" t="s">
        <v>31</v>
      </c>
      <c r="M8" s="20">
        <v>5</v>
      </c>
      <c r="N8" s="21">
        <v>1.2076</v>
      </c>
      <c r="O8" s="21">
        <v>-1.0500000000000001E-2</v>
      </c>
      <c r="P8" s="21">
        <v>-0.29110000000000003</v>
      </c>
      <c r="Q8" s="21"/>
      <c r="S8" s="21">
        <v>0.66</v>
      </c>
      <c r="T8" s="21">
        <v>3.5</v>
      </c>
      <c r="U8" s="37">
        <v>6.65</v>
      </c>
      <c r="W8" s="36" t="s">
        <v>31</v>
      </c>
      <c r="X8" s="20">
        <v>5</v>
      </c>
      <c r="Y8" s="20">
        <v>1.3067</v>
      </c>
      <c r="Z8" s="20">
        <v>-1.03E-2</v>
      </c>
      <c r="AA8" s="20">
        <v>-0.46179999999999999</v>
      </c>
      <c r="AD8" s="20">
        <v>1.4285000000000001</v>
      </c>
      <c r="AE8" s="20">
        <v>3.2684000000000002</v>
      </c>
      <c r="AF8" s="42">
        <v>4.4073000000000002</v>
      </c>
      <c r="AH8" s="54" t="s">
        <v>86</v>
      </c>
      <c r="AI8" s="54"/>
      <c r="AJ8" s="54">
        <f>MATCH(Introduction!D17,Family,0)</f>
        <v>1</v>
      </c>
      <c r="AL8" s="20">
        <v>1</v>
      </c>
      <c r="AM8" s="28">
        <f t="shared" ca="1" si="0"/>
        <v>1.2563</v>
      </c>
      <c r="AN8" s="28">
        <f t="shared" ca="1" si="0"/>
        <v>-0.53810000000000002</v>
      </c>
      <c r="AO8" s="28">
        <f t="shared" ca="1" si="0"/>
        <v>-0.26369999999999999</v>
      </c>
      <c r="AP8" s="28">
        <f t="shared" ca="1" si="0"/>
        <v>0</v>
      </c>
      <c r="AQ8" s="28"/>
      <c r="AR8" s="28">
        <f t="shared" ca="1" si="1"/>
        <v>1.3062</v>
      </c>
      <c r="AS8" s="28">
        <f t="shared" ca="1" si="1"/>
        <v>5.5677000000000003</v>
      </c>
      <c r="AT8" s="28">
        <f t="shared" ca="1" si="1"/>
        <v>0.29620000000000002</v>
      </c>
      <c r="AV8" s="29">
        <f t="shared" ca="1" si="2"/>
        <v>2</v>
      </c>
    </row>
    <row r="9" spans="1:48" ht="12.75" customHeight="1" x14ac:dyDescent="0.25">
      <c r="A9" s="36" t="s">
        <v>3</v>
      </c>
      <c r="B9" s="20">
        <v>5</v>
      </c>
      <c r="C9" s="20">
        <v>1.2045999999999999</v>
      </c>
      <c r="D9" s="20">
        <v>0.30370000000000003</v>
      </c>
      <c r="E9" s="20">
        <v>-0.56559999999999999</v>
      </c>
      <c r="H9" s="21">
        <v>2.0779000000000001</v>
      </c>
      <c r="I9" s="21">
        <v>-1.7907999999999999</v>
      </c>
      <c r="J9" s="37">
        <v>9.4125999999999994</v>
      </c>
      <c r="L9" s="36" t="s">
        <v>0</v>
      </c>
      <c r="M9" s="20">
        <v>5</v>
      </c>
      <c r="N9" s="21">
        <v>1.2030000000000001</v>
      </c>
      <c r="O9" s="21">
        <v>8.9599999999999999E-2</v>
      </c>
      <c r="P9" s="21">
        <v>-0.42649999999999999</v>
      </c>
      <c r="Q9" s="21"/>
      <c r="S9" s="21">
        <v>-1.96</v>
      </c>
      <c r="T9" s="21">
        <v>-0.9</v>
      </c>
      <c r="U9" s="37">
        <v>17.66</v>
      </c>
      <c r="W9" s="36" t="s">
        <v>0</v>
      </c>
      <c r="X9" s="20">
        <v>10</v>
      </c>
      <c r="Y9" s="20">
        <v>1.4701</v>
      </c>
      <c r="Z9" s="20">
        <v>0.17630000000000001</v>
      </c>
      <c r="AA9" s="20">
        <v>-0.7268</v>
      </c>
      <c r="AD9" s="20">
        <v>-7.5300000000000006E-2</v>
      </c>
      <c r="AE9" s="20">
        <v>-1.08</v>
      </c>
      <c r="AF9" s="42">
        <v>12.928100000000001</v>
      </c>
      <c r="AH9" s="54"/>
      <c r="AI9" s="55" t="s">
        <v>7</v>
      </c>
      <c r="AJ9" s="54"/>
      <c r="AL9" s="20">
        <v>2</v>
      </c>
      <c r="AM9" s="28">
        <f t="shared" ca="1" si="0"/>
        <v>1.1851</v>
      </c>
      <c r="AN9" s="28">
        <f t="shared" ca="1" si="0"/>
        <v>6.3299999999999995E-2</v>
      </c>
      <c r="AO9" s="28">
        <f t="shared" ca="1" si="0"/>
        <v>-0.41770000000000002</v>
      </c>
      <c r="AP9" s="28">
        <f t="shared" ca="1" si="0"/>
        <v>0</v>
      </c>
      <c r="AQ9" s="28"/>
      <c r="AR9" s="28">
        <f t="shared" ca="1" si="1"/>
        <v>1.5305</v>
      </c>
      <c r="AS9" s="28">
        <f t="shared" ca="1" si="1"/>
        <v>2.5528</v>
      </c>
      <c r="AT9" s="28">
        <f t="shared" ca="1" si="1"/>
        <v>4.8962000000000003</v>
      </c>
      <c r="AV9" s="29">
        <f t="shared" ca="1" si="2"/>
        <v>3</v>
      </c>
    </row>
    <row r="10" spans="1:48" ht="12.75" customHeight="1" x14ac:dyDescent="0.25">
      <c r="A10" s="36" t="s">
        <v>4</v>
      </c>
      <c r="B10" s="20">
        <v>10</v>
      </c>
      <c r="C10" s="20">
        <v>1.2585999999999999</v>
      </c>
      <c r="D10" s="20">
        <v>0.42359999999999998</v>
      </c>
      <c r="E10" s="20">
        <v>-0.58979999999999999</v>
      </c>
      <c r="H10" s="21">
        <v>2.7705000000000002</v>
      </c>
      <c r="I10" s="21">
        <v>-7.3403</v>
      </c>
      <c r="J10" s="37">
        <v>14.9352</v>
      </c>
      <c r="L10" s="36" t="s">
        <v>1</v>
      </c>
      <c r="M10" s="20">
        <v>10</v>
      </c>
      <c r="N10" s="21">
        <v>1.3291999999999999</v>
      </c>
      <c r="O10" s="21">
        <v>0.1598</v>
      </c>
      <c r="P10" s="21">
        <v>-0.57779999999999998</v>
      </c>
      <c r="Q10" s="21"/>
      <c r="S10" s="21">
        <v>-3.85</v>
      </c>
      <c r="T10" s="21">
        <v>-6.42</v>
      </c>
      <c r="U10" s="37">
        <v>28.94</v>
      </c>
      <c r="W10" s="36" t="s">
        <v>1</v>
      </c>
      <c r="X10" s="20">
        <v>15</v>
      </c>
      <c r="Y10" s="20">
        <v>1.5039</v>
      </c>
      <c r="Z10" s="20">
        <v>3.8999999999999998E-3</v>
      </c>
      <c r="AA10" s="20">
        <v>-0.70709999999999995</v>
      </c>
      <c r="AD10" s="20">
        <v>-1.9749000000000001</v>
      </c>
      <c r="AE10" s="20">
        <v>-3.4773000000000001</v>
      </c>
      <c r="AF10" s="42">
        <v>21.331800000000001</v>
      </c>
      <c r="AH10" s="54"/>
      <c r="AI10" s="57" t="s">
        <v>40</v>
      </c>
      <c r="AJ10" s="54"/>
      <c r="AL10" s="20">
        <v>3</v>
      </c>
      <c r="AM10" s="28">
        <f t="shared" ca="1" si="0"/>
        <v>1.1719999999999999</v>
      </c>
      <c r="AN10" s="28">
        <f t="shared" ca="1" si="0"/>
        <v>0.2341</v>
      </c>
      <c r="AO10" s="28">
        <f t="shared" ca="1" si="0"/>
        <v>-0.42720000000000002</v>
      </c>
      <c r="AP10" s="28">
        <f t="shared" ca="1" si="0"/>
        <v>0</v>
      </c>
      <c r="AQ10" s="28"/>
      <c r="AR10" s="28">
        <f t="shared" ca="1" si="1"/>
        <v>1.9991000000000001</v>
      </c>
      <c r="AS10" s="28">
        <f t="shared" ca="1" si="1"/>
        <v>-2.4260999999999999</v>
      </c>
      <c r="AT10" s="28">
        <f t="shared" ca="1" si="1"/>
        <v>10.4282</v>
      </c>
      <c r="AV10" s="29">
        <f t="shared" ca="1" si="2"/>
        <v>5</v>
      </c>
    </row>
    <row r="11" spans="1:48" ht="12.75" customHeight="1" x14ac:dyDescent="0.25">
      <c r="A11" s="36" t="s">
        <v>5</v>
      </c>
      <c r="B11" s="20">
        <v>15</v>
      </c>
      <c r="C11" s="20">
        <v>1.224</v>
      </c>
      <c r="D11" s="20">
        <v>0.42220000000000002</v>
      </c>
      <c r="E11" s="20">
        <v>-0.54559999999999997</v>
      </c>
      <c r="H11" s="21">
        <v>4.1520000000000001</v>
      </c>
      <c r="I11" s="21">
        <v>-12.2448</v>
      </c>
      <c r="J11" s="37">
        <v>19.2349</v>
      </c>
      <c r="L11" s="36"/>
      <c r="U11" s="42"/>
      <c r="W11" s="36" t="s">
        <v>2</v>
      </c>
      <c r="X11" s="20">
        <v>20</v>
      </c>
      <c r="Y11" s="20">
        <v>1.4798</v>
      </c>
      <c r="Z11" s="20">
        <v>-0.2487</v>
      </c>
      <c r="AA11" s="20">
        <v>-0.55820000000000003</v>
      </c>
      <c r="AD11" s="20">
        <v>-2.1888000000000001</v>
      </c>
      <c r="AE11" s="20">
        <v>0.61240000000000006</v>
      </c>
      <c r="AF11" s="42">
        <v>23.9376</v>
      </c>
      <c r="AH11" s="54"/>
      <c r="AI11" s="54"/>
      <c r="AJ11" s="54"/>
      <c r="AL11" s="20">
        <v>4</v>
      </c>
      <c r="AM11" s="28">
        <f t="shared" ca="1" si="0"/>
        <v>1.1865000000000001</v>
      </c>
      <c r="AN11" s="28">
        <f t="shared" ca="1" si="0"/>
        <v>0.308</v>
      </c>
      <c r="AO11" s="28">
        <f t="shared" ca="1" si="0"/>
        <v>-0.44519999999999998</v>
      </c>
      <c r="AP11" s="28">
        <f t="shared" ca="1" si="0"/>
        <v>0</v>
      </c>
      <c r="AQ11" s="28"/>
      <c r="AR11" s="28">
        <f t="shared" ca="1" si="1"/>
        <v>2.7631999999999999</v>
      </c>
      <c r="AS11" s="28">
        <f t="shared" ca="1" si="1"/>
        <v>-8.4064999999999994</v>
      </c>
      <c r="AT11" s="28">
        <f t="shared" ca="1" si="1"/>
        <v>16.178699999999999</v>
      </c>
      <c r="AV11" s="29">
        <f t="shared" ca="1" si="2"/>
        <v>10</v>
      </c>
    </row>
    <row r="12" spans="1:48" ht="12.75" customHeight="1" x14ac:dyDescent="0.25">
      <c r="A12" s="36" t="s">
        <v>6</v>
      </c>
      <c r="B12" s="20">
        <v>20</v>
      </c>
      <c r="C12" s="20">
        <v>1.1772</v>
      </c>
      <c r="D12" s="20">
        <v>0.34860000000000002</v>
      </c>
      <c r="E12" s="20">
        <v>-0.46239999999999998</v>
      </c>
      <c r="H12" s="21">
        <v>6.9649999999999999</v>
      </c>
      <c r="I12" s="21">
        <v>-13.916</v>
      </c>
      <c r="J12" s="37">
        <v>19.9542</v>
      </c>
      <c r="L12" s="36"/>
      <c r="U12" s="42"/>
      <c r="W12" s="36"/>
      <c r="AE12" s="49"/>
      <c r="AF12" s="50"/>
      <c r="AG12" s="23"/>
      <c r="AH12" s="54" t="s">
        <v>87</v>
      </c>
      <c r="AI12" s="54"/>
      <c r="AJ12" s="54">
        <f>MATCH(Introduction!D18,IF(AJ8=1,Princeton,UN),0)</f>
        <v>4</v>
      </c>
      <c r="AL12" s="20">
        <v>5</v>
      </c>
      <c r="AM12" s="28">
        <f t="shared" ca="1" si="0"/>
        <v>1.1746000000000001</v>
      </c>
      <c r="AN12" s="28">
        <f t="shared" ca="1" si="0"/>
        <v>0.33139999999999997</v>
      </c>
      <c r="AO12" s="28">
        <f t="shared" ca="1" si="0"/>
        <v>-0.45369999999999999</v>
      </c>
      <c r="AP12" s="28">
        <f t="shared" ca="1" si="0"/>
        <v>0</v>
      </c>
      <c r="AQ12" s="28"/>
      <c r="AR12" s="28">
        <f t="shared" ca="1" si="1"/>
        <v>4.3468</v>
      </c>
      <c r="AS12" s="28">
        <f t="shared" ca="1" si="1"/>
        <v>-13.243600000000001</v>
      </c>
      <c r="AT12" s="28">
        <f t="shared" ca="1" si="1"/>
        <v>20.199000000000002</v>
      </c>
      <c r="AV12" s="29">
        <f t="shared" ca="1" si="2"/>
        <v>15</v>
      </c>
    </row>
    <row r="13" spans="1:48" ht="12.75" customHeight="1" x14ac:dyDescent="0.25">
      <c r="A13" s="38"/>
      <c r="B13" s="39"/>
      <c r="C13" s="27"/>
      <c r="D13" s="27"/>
      <c r="E13" s="27"/>
      <c r="F13" s="27"/>
      <c r="G13" s="27"/>
      <c r="H13" s="27"/>
      <c r="I13" s="27"/>
      <c r="J13" s="40"/>
      <c r="L13" s="36"/>
      <c r="U13" s="42"/>
      <c r="W13" s="36"/>
      <c r="AE13" s="48"/>
      <c r="AF13" s="50"/>
      <c r="AG13" s="23"/>
      <c r="AH13" s="54"/>
      <c r="AI13" s="55" t="s">
        <v>41</v>
      </c>
      <c r="AJ13" s="54"/>
      <c r="AL13" s="20">
        <v>6</v>
      </c>
      <c r="AM13" s="28">
        <f t="shared" ca="1" si="0"/>
        <v>1.1638999999999999</v>
      </c>
      <c r="AN13" s="28">
        <f t="shared" ca="1" si="0"/>
        <v>0.31900000000000001</v>
      </c>
      <c r="AO13" s="28">
        <f t="shared" ca="1" si="0"/>
        <v>-0.44350000000000001</v>
      </c>
      <c r="AP13" s="28">
        <f t="shared" ca="1" si="0"/>
        <v>0</v>
      </c>
      <c r="AQ13" s="28"/>
      <c r="AR13" s="28">
        <f t="shared" ca="1" si="1"/>
        <v>7.5242000000000004</v>
      </c>
      <c r="AS13" s="28">
        <f t="shared" ca="1" si="1"/>
        <v>-14.2013</v>
      </c>
      <c r="AT13" s="28">
        <f t="shared" ca="1" si="1"/>
        <v>20.016200000000001</v>
      </c>
      <c r="AV13" s="29">
        <f t="shared" ca="1" si="2"/>
        <v>20</v>
      </c>
    </row>
    <row r="14" spans="1:48" ht="12.75" customHeight="1" x14ac:dyDescent="0.25">
      <c r="A14" s="41"/>
      <c r="B14" s="27"/>
      <c r="C14" s="27"/>
      <c r="D14" s="27"/>
      <c r="E14" s="27"/>
      <c r="F14" s="27"/>
      <c r="G14" s="27"/>
      <c r="H14" s="27"/>
      <c r="I14" s="27"/>
      <c r="J14" s="40"/>
      <c r="L14" s="36"/>
      <c r="U14" s="42"/>
      <c r="W14" s="36"/>
      <c r="AE14" s="48"/>
      <c r="AF14" s="50"/>
      <c r="AG14" s="23"/>
      <c r="AH14" s="54"/>
      <c r="AI14" s="56" t="s">
        <v>42</v>
      </c>
      <c r="AJ14" s="54"/>
    </row>
    <row r="15" spans="1:48" ht="15" customHeight="1" x14ac:dyDescent="0.25">
      <c r="A15" s="158" t="s">
        <v>18</v>
      </c>
      <c r="B15" s="158"/>
      <c r="C15" s="158"/>
      <c r="D15" s="158"/>
      <c r="E15" s="158"/>
      <c r="F15" s="158"/>
      <c r="G15" s="158"/>
      <c r="H15" s="158"/>
      <c r="I15" s="158"/>
      <c r="J15" s="159"/>
      <c r="K15" s="24"/>
      <c r="L15" s="35"/>
      <c r="M15" s="24"/>
      <c r="N15" s="158" t="s">
        <v>18</v>
      </c>
      <c r="O15" s="158"/>
      <c r="P15" s="158"/>
      <c r="Q15" s="158"/>
      <c r="R15" s="158"/>
      <c r="S15" s="158"/>
      <c r="T15" s="158"/>
      <c r="U15" s="159"/>
      <c r="V15" s="24"/>
      <c r="W15" s="35"/>
      <c r="X15" s="24"/>
      <c r="Y15" s="158" t="s">
        <v>18</v>
      </c>
      <c r="Z15" s="158"/>
      <c r="AA15" s="158"/>
      <c r="AB15" s="158"/>
      <c r="AC15" s="158"/>
      <c r="AD15" s="158"/>
      <c r="AE15" s="158"/>
      <c r="AF15" s="159"/>
      <c r="AG15" s="23"/>
      <c r="AH15" s="54"/>
      <c r="AI15" s="56" t="s">
        <v>43</v>
      </c>
      <c r="AJ15" s="54"/>
      <c r="AM15" s="158" t="s">
        <v>65</v>
      </c>
      <c r="AN15" s="158"/>
      <c r="AO15" s="24"/>
      <c r="AP15" s="28"/>
      <c r="AQ15" s="28"/>
      <c r="AR15" s="28"/>
      <c r="AS15" s="28"/>
      <c r="AT15" s="28"/>
    </row>
    <row r="16" spans="1:48" ht="12.75" customHeight="1" x14ac:dyDescent="0.25">
      <c r="A16" s="51" t="s">
        <v>53</v>
      </c>
      <c r="B16" s="52" t="s">
        <v>28</v>
      </c>
      <c r="C16" s="26" t="s">
        <v>8</v>
      </c>
      <c r="D16" s="26" t="s">
        <v>9</v>
      </c>
      <c r="E16" s="26" t="s">
        <v>10</v>
      </c>
      <c r="F16" s="26" t="s">
        <v>11</v>
      </c>
      <c r="G16" s="26"/>
      <c r="H16" s="26" t="s">
        <v>12</v>
      </c>
      <c r="I16" s="26" t="s">
        <v>13</v>
      </c>
      <c r="J16" s="53" t="s">
        <v>14</v>
      </c>
      <c r="L16" s="51" t="s">
        <v>82</v>
      </c>
      <c r="M16" s="52" t="s">
        <v>28</v>
      </c>
      <c r="N16" s="26" t="s">
        <v>8</v>
      </c>
      <c r="O16" s="26" t="s">
        <v>9</v>
      </c>
      <c r="P16" s="26" t="s">
        <v>10</v>
      </c>
      <c r="Q16" s="26"/>
      <c r="R16" s="26"/>
      <c r="S16" s="26" t="s">
        <v>12</v>
      </c>
      <c r="T16" s="26" t="s">
        <v>13</v>
      </c>
      <c r="U16" s="53" t="s">
        <v>14</v>
      </c>
      <c r="W16" s="51" t="s">
        <v>82</v>
      </c>
      <c r="X16" s="52" t="s">
        <v>28</v>
      </c>
      <c r="Y16" s="26" t="s">
        <v>8</v>
      </c>
      <c r="Z16" s="26" t="s">
        <v>9</v>
      </c>
      <c r="AA16" s="26" t="s">
        <v>10</v>
      </c>
      <c r="AB16" s="26"/>
      <c r="AC16" s="26"/>
      <c r="AD16" s="26" t="s">
        <v>12</v>
      </c>
      <c r="AE16" s="26" t="s">
        <v>13</v>
      </c>
      <c r="AF16" s="53" t="s">
        <v>14</v>
      </c>
      <c r="AG16" s="23"/>
      <c r="AH16" s="54"/>
      <c r="AI16" s="57" t="s">
        <v>44</v>
      </c>
      <c r="AJ16" s="54"/>
      <c r="AM16" s="77" t="s">
        <v>28</v>
      </c>
      <c r="AN16" s="79" t="s">
        <v>90</v>
      </c>
      <c r="AO16" s="24"/>
      <c r="AP16" s="28"/>
      <c r="AQ16" s="28"/>
      <c r="AR16" s="28"/>
      <c r="AS16" s="28"/>
      <c r="AT16" s="28"/>
    </row>
    <row r="17" spans="1:46" ht="12.75" customHeight="1" x14ac:dyDescent="0.25">
      <c r="A17" s="36" t="s">
        <v>0</v>
      </c>
      <c r="B17" s="20">
        <v>1</v>
      </c>
      <c r="C17" s="20">
        <v>1.0819000000000001</v>
      </c>
      <c r="D17" s="20">
        <v>-3.0005000000000002</v>
      </c>
      <c r="E17" s="20">
        <v>0.86890000000000001</v>
      </c>
      <c r="F17" s="27"/>
      <c r="G17" s="27"/>
      <c r="H17" s="21">
        <v>1.0900000000000001</v>
      </c>
      <c r="I17" s="21">
        <v>5.4443000000000001</v>
      </c>
      <c r="J17" s="37">
        <v>-1.9721</v>
      </c>
      <c r="L17" s="36" t="s">
        <v>29</v>
      </c>
      <c r="M17" s="20">
        <v>2</v>
      </c>
      <c r="N17" s="20">
        <v>1.1705000000000001</v>
      </c>
      <c r="O17" s="20">
        <v>-0.14610000000000001</v>
      </c>
      <c r="P17" s="20">
        <v>5.1000000000000004E-3</v>
      </c>
      <c r="S17" s="21">
        <v>1.68</v>
      </c>
      <c r="T17" s="21">
        <v>0.96</v>
      </c>
      <c r="U17" s="37">
        <v>-0.32</v>
      </c>
      <c r="W17" s="36" t="s">
        <v>29</v>
      </c>
      <c r="X17" s="20">
        <v>2</v>
      </c>
      <c r="Y17" s="20">
        <v>1.3103</v>
      </c>
      <c r="Z17" s="20">
        <v>-0.58560000000000001</v>
      </c>
      <c r="AA17" s="20">
        <v>0.13669999999999999</v>
      </c>
      <c r="AD17" s="20">
        <v>1.0202</v>
      </c>
      <c r="AE17" s="48">
        <v>1.3064</v>
      </c>
      <c r="AF17" s="50">
        <v>-0.32969999999999999</v>
      </c>
      <c r="AG17" s="23"/>
      <c r="AH17" s="54"/>
      <c r="AI17" s="55" t="s">
        <v>45</v>
      </c>
      <c r="AJ17" s="54"/>
      <c r="AM17" s="64">
        <v>0</v>
      </c>
      <c r="AN17" s="80"/>
      <c r="AO17" s="66"/>
      <c r="AP17" s="27"/>
      <c r="AQ17" s="27"/>
      <c r="AR17" s="27"/>
      <c r="AS17" s="27"/>
      <c r="AT17" s="27"/>
    </row>
    <row r="18" spans="1:46" ht="12.75" customHeight="1" x14ac:dyDescent="0.25">
      <c r="A18" s="36" t="s">
        <v>1</v>
      </c>
      <c r="B18" s="20">
        <v>2</v>
      </c>
      <c r="C18" s="20">
        <v>1.2846</v>
      </c>
      <c r="D18" s="20">
        <v>-0.61809999999999998</v>
      </c>
      <c r="E18" s="20">
        <v>-0.3024</v>
      </c>
      <c r="F18" s="27"/>
      <c r="G18" s="27"/>
      <c r="H18" s="21">
        <v>1.3079000000000001</v>
      </c>
      <c r="I18" s="21">
        <v>5.5568</v>
      </c>
      <c r="J18" s="37">
        <v>0.2021</v>
      </c>
      <c r="L18" s="36" t="s">
        <v>30</v>
      </c>
      <c r="M18" s="20">
        <v>5</v>
      </c>
      <c r="N18" s="20">
        <v>1.3166</v>
      </c>
      <c r="O18" s="20">
        <v>-0.31569999999999998</v>
      </c>
      <c r="P18" s="20">
        <v>-9.7100000000000006E-2</v>
      </c>
      <c r="S18" s="21">
        <v>2.29</v>
      </c>
      <c r="T18" s="21">
        <v>3.84</v>
      </c>
      <c r="U18" s="37">
        <v>-0.01</v>
      </c>
      <c r="W18" s="36" t="s">
        <v>30</v>
      </c>
      <c r="X18" s="20">
        <v>3</v>
      </c>
      <c r="Y18" s="20">
        <v>1.2309000000000001</v>
      </c>
      <c r="Z18" s="20">
        <v>-0.3463</v>
      </c>
      <c r="AA18" s="20">
        <v>-0.10730000000000001</v>
      </c>
      <c r="AD18" s="20">
        <v>1.6600999999999999</v>
      </c>
      <c r="AE18" s="49">
        <v>4.5105000000000004</v>
      </c>
      <c r="AF18" s="50">
        <v>-3.3500000000000002E-2</v>
      </c>
      <c r="AG18" s="23"/>
      <c r="AH18" s="54"/>
      <c r="AI18" s="56" t="s">
        <v>76</v>
      </c>
      <c r="AJ18" s="54"/>
      <c r="AM18" s="65">
        <v>1</v>
      </c>
      <c r="AN18" s="81">
        <f>HLOOKUP(Coefficients!$AJ$8*100+Coefficients!$AJ$12*10+Coefficients!$AJ$28,'Model LTs'!$A$2:$AB$13,5,FALSE)</f>
        <v>-1.2920084625948782</v>
      </c>
      <c r="AO18" s="78"/>
    </row>
    <row r="19" spans="1:46" ht="12.75" customHeight="1" x14ac:dyDescent="0.25">
      <c r="A19" s="36" t="s">
        <v>2</v>
      </c>
      <c r="B19" s="20">
        <v>3</v>
      </c>
      <c r="C19" s="20">
        <v>1.2222999999999999</v>
      </c>
      <c r="D19" s="20">
        <v>8.5099999999999995E-2</v>
      </c>
      <c r="E19" s="20">
        <v>-0.47039999999999998</v>
      </c>
      <c r="F19" s="27"/>
      <c r="G19" s="27"/>
      <c r="H19" s="21">
        <v>1.5173000000000001</v>
      </c>
      <c r="I19" s="21">
        <v>2.6755</v>
      </c>
      <c r="J19" s="37">
        <v>4.7470999999999997</v>
      </c>
      <c r="L19" s="36" t="s">
        <v>31</v>
      </c>
      <c r="M19" s="20">
        <v>5</v>
      </c>
      <c r="N19" s="20">
        <v>1.2951999999999999</v>
      </c>
      <c r="O19" s="20">
        <v>-4.2299999999999997E-2</v>
      </c>
      <c r="P19" s="20">
        <v>-0.42949999999999999</v>
      </c>
      <c r="S19" s="21">
        <v>1.19</v>
      </c>
      <c r="T19" s="21">
        <v>3.45</v>
      </c>
      <c r="U19" s="37">
        <v>5.41</v>
      </c>
      <c r="W19" s="36" t="s">
        <v>31</v>
      </c>
      <c r="X19" s="20">
        <v>5</v>
      </c>
      <c r="Y19" s="20">
        <v>1.2774000000000001</v>
      </c>
      <c r="Z19" s="20">
        <v>3.3599999999999998E-2</v>
      </c>
      <c r="AA19" s="20">
        <v>-0.3987</v>
      </c>
      <c r="AD19" s="20">
        <v>1.2145999999999999</v>
      </c>
      <c r="AE19" s="20">
        <v>3.4683999999999999</v>
      </c>
      <c r="AF19" s="42">
        <v>4.9523999999999999</v>
      </c>
      <c r="AH19" s="54"/>
      <c r="AI19" s="56" t="s">
        <v>46</v>
      </c>
      <c r="AJ19" s="54"/>
      <c r="AM19" s="65">
        <v>2</v>
      </c>
      <c r="AN19" s="81">
        <f>HLOOKUP(Coefficients!$AJ$8*100+Coefficients!$AJ$12*10+Coefficients!$AJ$28,'Model LTs'!$A$2:$AB$13,6,FALSE)</f>
        <v>-1.199382018993584</v>
      </c>
      <c r="AO19" s="78"/>
    </row>
    <row r="20" spans="1:46" ht="12.75" customHeight="1" x14ac:dyDescent="0.25">
      <c r="A20" s="36" t="s">
        <v>3</v>
      </c>
      <c r="B20" s="20">
        <v>5</v>
      </c>
      <c r="C20" s="20">
        <v>1.1904999999999999</v>
      </c>
      <c r="D20" s="20">
        <v>0.2631</v>
      </c>
      <c r="E20" s="20">
        <v>-0.44869999999999999</v>
      </c>
      <c r="F20" s="27"/>
      <c r="G20" s="27"/>
      <c r="H20" s="21">
        <v>1.9399</v>
      </c>
      <c r="I20" s="21">
        <v>-2.2738999999999998</v>
      </c>
      <c r="J20" s="37">
        <v>10.387600000000001</v>
      </c>
      <c r="L20" s="36" t="s">
        <v>0</v>
      </c>
      <c r="M20" s="20">
        <v>5</v>
      </c>
      <c r="N20" s="21">
        <v>1.2836000000000001</v>
      </c>
      <c r="O20" s="20">
        <v>0.1308</v>
      </c>
      <c r="P20" s="20">
        <v>-0.64959999999999996</v>
      </c>
      <c r="S20" s="21">
        <v>-1.01</v>
      </c>
      <c r="T20" s="21">
        <v>-0.18</v>
      </c>
      <c r="U20" s="37">
        <v>15.03</v>
      </c>
      <c r="W20" s="36" t="s">
        <v>0</v>
      </c>
      <c r="X20" s="20">
        <v>10</v>
      </c>
      <c r="Y20" s="20">
        <v>1.3492999999999999</v>
      </c>
      <c r="Z20" s="20">
        <v>0.1366</v>
      </c>
      <c r="AA20" s="20">
        <v>-0.5403</v>
      </c>
      <c r="AD20" s="20">
        <v>-0.64539999999999997</v>
      </c>
      <c r="AE20" s="20">
        <v>-1.6045</v>
      </c>
      <c r="AF20" s="50">
        <v>14.677300000000001</v>
      </c>
      <c r="AH20" s="54"/>
      <c r="AI20" s="56" t="s">
        <v>47</v>
      </c>
      <c r="AJ20" s="54"/>
      <c r="AM20" s="65">
        <v>3</v>
      </c>
      <c r="AN20" s="81">
        <f>HLOOKUP(Coefficients!$AJ$8*100+Coefficients!$AJ$12*10+Coefficients!$AJ$28,'Model LTs'!$A$2:$AB$13,7,FALSE)</f>
        <v>-1.1592413135184099</v>
      </c>
      <c r="AO20" s="78"/>
    </row>
    <row r="21" spans="1:46" ht="12.75" customHeight="1" x14ac:dyDescent="0.25">
      <c r="A21" s="36" t="s">
        <v>4</v>
      </c>
      <c r="B21" s="20">
        <v>10</v>
      </c>
      <c r="C21" s="20">
        <v>1.1911</v>
      </c>
      <c r="D21" s="20">
        <v>0.31519999999999998</v>
      </c>
      <c r="E21" s="20">
        <v>-0.42909999999999998</v>
      </c>
      <c r="F21" s="27"/>
      <c r="G21" s="27"/>
      <c r="H21" s="21">
        <v>2.6156999999999999</v>
      </c>
      <c r="I21" s="21">
        <v>-8.4818999999999996</v>
      </c>
      <c r="J21" s="37">
        <v>16.5153</v>
      </c>
      <c r="L21" s="36" t="s">
        <v>1</v>
      </c>
      <c r="M21" s="20">
        <v>10</v>
      </c>
      <c r="N21" s="20">
        <v>1.5268999999999999</v>
      </c>
      <c r="O21" s="20">
        <v>0.26590000000000003</v>
      </c>
      <c r="P21" s="20">
        <v>-0.91739999999999999</v>
      </c>
      <c r="S21" s="21">
        <v>-2.68</v>
      </c>
      <c r="T21" s="21">
        <v>-5.0599999999999996</v>
      </c>
      <c r="U21" s="37">
        <v>25.21</v>
      </c>
      <c r="W21" s="36" t="s">
        <v>1</v>
      </c>
      <c r="X21" s="20">
        <v>15</v>
      </c>
      <c r="Y21" s="20">
        <v>1.3592</v>
      </c>
      <c r="Z21" s="20">
        <v>-3.15E-2</v>
      </c>
      <c r="AA21" s="20">
        <v>-0.49440000000000001</v>
      </c>
      <c r="AD21" s="20">
        <v>-2.9104000000000001</v>
      </c>
      <c r="AE21" s="20">
        <v>-4.1352000000000002</v>
      </c>
      <c r="AF21" s="50">
        <v>24.007200000000001</v>
      </c>
      <c r="AH21" s="54"/>
      <c r="AI21" s="57" t="s">
        <v>48</v>
      </c>
      <c r="AJ21" s="54"/>
      <c r="AM21" s="65">
        <v>4</v>
      </c>
      <c r="AN21" s="81">
        <f>HLOOKUP(Coefficients!$AJ$8*100+Coefficients!$AJ$12*10+Coefficients!$AJ$28,'Model LTs'!$A$2:$AB$13,8,FALSE)</f>
        <v>-1.133848489507731</v>
      </c>
      <c r="AO21" s="78"/>
    </row>
    <row r="22" spans="1:46" ht="12.75" customHeight="1" x14ac:dyDescent="0.25">
      <c r="A22" s="36" t="s">
        <v>5</v>
      </c>
      <c r="B22" s="20">
        <v>15</v>
      </c>
      <c r="C22" s="20">
        <v>1.1564000000000001</v>
      </c>
      <c r="D22" s="20">
        <v>0.30170000000000002</v>
      </c>
      <c r="E22" s="20">
        <v>-0.39579999999999999</v>
      </c>
      <c r="F22" s="27"/>
      <c r="G22" s="27"/>
      <c r="H22" s="21">
        <v>4.0793999999999997</v>
      </c>
      <c r="I22" s="21">
        <v>-13.8308</v>
      </c>
      <c r="J22" s="37">
        <v>21.186599999999999</v>
      </c>
      <c r="L22" s="36"/>
      <c r="U22" s="42"/>
      <c r="W22" s="36" t="s">
        <v>2</v>
      </c>
      <c r="X22" s="20">
        <v>20</v>
      </c>
      <c r="Y22" s="20">
        <v>1.3532</v>
      </c>
      <c r="Z22" s="20">
        <v>-0.1978</v>
      </c>
      <c r="AA22" s="48">
        <v>-0.40989999999999999</v>
      </c>
      <c r="AB22" s="48"/>
      <c r="AD22" s="20">
        <v>-3.1640999999999999</v>
      </c>
      <c r="AE22" s="20">
        <v>1.2105999999999999</v>
      </c>
      <c r="AF22" s="50">
        <v>26.351500000000001</v>
      </c>
      <c r="AH22" s="54"/>
      <c r="AI22" s="54"/>
      <c r="AJ22" s="54"/>
      <c r="AM22" s="65">
        <v>5</v>
      </c>
      <c r="AN22" s="81">
        <f>HLOOKUP(Coefficients!$AJ$8*100+Coefficients!$AJ$12*10+Coefficients!$AJ$28,'Model LTs'!$A$2:$AB$13,9,FALSE)</f>
        <v>-1.1143192900977046</v>
      </c>
      <c r="AO22" s="78"/>
    </row>
    <row r="23" spans="1:46" ht="12.75" customHeight="1" x14ac:dyDescent="0.25">
      <c r="A23" s="36" t="s">
        <v>6</v>
      </c>
      <c r="B23" s="20">
        <v>20</v>
      </c>
      <c r="C23" s="20">
        <v>1.1307</v>
      </c>
      <c r="D23" s="20">
        <v>0.2596</v>
      </c>
      <c r="E23" s="20">
        <v>-0.3538</v>
      </c>
      <c r="F23" s="27"/>
      <c r="G23" s="27"/>
      <c r="H23" s="21">
        <v>7.1795999999999998</v>
      </c>
      <c r="I23" s="21">
        <v>-15.388</v>
      </c>
      <c r="J23" s="37">
        <v>21.789200000000001</v>
      </c>
      <c r="L23" s="36"/>
      <c r="U23" s="42"/>
      <c r="W23" s="36"/>
      <c r="AF23" s="42"/>
      <c r="AH23" s="54" t="s">
        <v>85</v>
      </c>
      <c r="AI23" s="54"/>
      <c r="AJ23" s="54">
        <f>MATCH(Introduction!D14,Variant,0)</f>
        <v>1</v>
      </c>
      <c r="AM23" s="65">
        <v>10</v>
      </c>
      <c r="AN23" s="81">
        <f>HLOOKUP(Coefficients!$AJ$8*100+Coefficients!$AJ$12*10+Coefficients!$AJ$28,'Model LTs'!$A$2:$AB$13,10,FALSE)</f>
        <v>-1.0648450322432061</v>
      </c>
      <c r="AO23" s="78"/>
    </row>
    <row r="24" spans="1:46" ht="12.75" customHeight="1" x14ac:dyDescent="0.25">
      <c r="A24" s="41"/>
      <c r="C24" s="27"/>
      <c r="D24" s="27"/>
      <c r="E24" s="27"/>
      <c r="F24" s="27"/>
      <c r="G24" s="27"/>
      <c r="H24" s="27"/>
      <c r="I24" s="27"/>
      <c r="J24" s="40"/>
      <c r="L24" s="36"/>
      <c r="U24" s="42"/>
      <c r="W24" s="36"/>
      <c r="AF24" s="42"/>
      <c r="AH24" s="54"/>
      <c r="AI24" s="55" t="s">
        <v>26</v>
      </c>
      <c r="AJ24" s="54"/>
      <c r="AM24" s="65">
        <v>15</v>
      </c>
      <c r="AN24" s="81">
        <f>HLOOKUP(Coefficients!$AJ$8*100+Coefficients!$AJ$12*10+Coefficients!$AJ$28,'Model LTs'!$A$2:$AB$13,11,FALSE)</f>
        <v>-1.0293119689456429</v>
      </c>
      <c r="AO24" s="78"/>
    </row>
    <row r="25" spans="1:46" ht="12.75" customHeight="1" x14ac:dyDescent="0.25">
      <c r="A25" s="41"/>
      <c r="C25" s="27"/>
      <c r="D25" s="27"/>
      <c r="E25" s="27"/>
      <c r="F25" s="27"/>
      <c r="G25" s="27"/>
      <c r="H25" s="27"/>
      <c r="I25" s="27"/>
      <c r="J25" s="40"/>
      <c r="L25" s="36"/>
      <c r="U25" s="42"/>
      <c r="W25" s="36"/>
      <c r="AF25" s="42"/>
      <c r="AH25" s="54"/>
      <c r="AI25" s="56" t="s">
        <v>35</v>
      </c>
      <c r="AJ25" s="54"/>
      <c r="AM25" s="67">
        <v>20</v>
      </c>
      <c r="AN25" s="82">
        <f>HLOOKUP(Coefficients!$AJ$8*100+Coefficients!$AJ$12*10+Coefficients!$AJ$28,'Model LTs'!$A$2:$AB$13,12,FALSE)</f>
        <v>-0.97893414503700538</v>
      </c>
      <c r="AO25" s="78"/>
    </row>
    <row r="26" spans="1:46" ht="15" customHeight="1" x14ac:dyDescent="0.25">
      <c r="A26" s="158" t="s">
        <v>19</v>
      </c>
      <c r="B26" s="158"/>
      <c r="C26" s="158"/>
      <c r="D26" s="158"/>
      <c r="E26" s="158"/>
      <c r="F26" s="158"/>
      <c r="G26" s="158"/>
      <c r="H26" s="158"/>
      <c r="I26" s="158"/>
      <c r="J26" s="159"/>
      <c r="K26" s="24"/>
      <c r="L26" s="35"/>
      <c r="M26" s="24"/>
      <c r="N26" s="158" t="s">
        <v>19</v>
      </c>
      <c r="O26" s="158"/>
      <c r="P26" s="158"/>
      <c r="Q26" s="158"/>
      <c r="R26" s="158"/>
      <c r="S26" s="158"/>
      <c r="T26" s="158"/>
      <c r="U26" s="159"/>
      <c r="V26" s="24"/>
      <c r="W26" s="35"/>
      <c r="X26" s="24"/>
      <c r="Y26" s="158" t="s">
        <v>19</v>
      </c>
      <c r="Z26" s="158"/>
      <c r="AA26" s="158"/>
      <c r="AB26" s="158"/>
      <c r="AC26" s="158"/>
      <c r="AD26" s="158"/>
      <c r="AE26" s="158"/>
      <c r="AF26" s="159"/>
      <c r="AH26" s="54"/>
      <c r="AI26" s="57" t="s">
        <v>36</v>
      </c>
      <c r="AJ26" s="54"/>
    </row>
    <row r="27" spans="1:46" ht="12.75" customHeight="1" x14ac:dyDescent="0.25">
      <c r="A27" s="51" t="s">
        <v>53</v>
      </c>
      <c r="B27" s="52" t="s">
        <v>28</v>
      </c>
      <c r="C27" s="26" t="s">
        <v>8</v>
      </c>
      <c r="D27" s="26" t="s">
        <v>9</v>
      </c>
      <c r="E27" s="26" t="s">
        <v>10</v>
      </c>
      <c r="F27" s="26" t="s">
        <v>11</v>
      </c>
      <c r="G27" s="26"/>
      <c r="H27" s="26" t="s">
        <v>12</v>
      </c>
      <c r="I27" s="26" t="s">
        <v>13</v>
      </c>
      <c r="J27" s="53" t="s">
        <v>14</v>
      </c>
      <c r="L27" s="51" t="s">
        <v>82</v>
      </c>
      <c r="M27" s="52" t="s">
        <v>28</v>
      </c>
      <c r="N27" s="26" t="s">
        <v>8</v>
      </c>
      <c r="O27" s="26" t="s">
        <v>9</v>
      </c>
      <c r="P27" s="26" t="s">
        <v>10</v>
      </c>
      <c r="Q27" s="26"/>
      <c r="R27" s="26"/>
      <c r="S27" s="26" t="s">
        <v>12</v>
      </c>
      <c r="T27" s="26" t="s">
        <v>13</v>
      </c>
      <c r="U27" s="53" t="s">
        <v>14</v>
      </c>
      <c r="W27" s="51" t="s">
        <v>82</v>
      </c>
      <c r="X27" s="52" t="s">
        <v>28</v>
      </c>
      <c r="Y27" s="26" t="s">
        <v>8</v>
      </c>
      <c r="Z27" s="26" t="s">
        <v>9</v>
      </c>
      <c r="AA27" s="26" t="s">
        <v>10</v>
      </c>
      <c r="AB27" s="26"/>
      <c r="AC27" s="26"/>
      <c r="AD27" s="26" t="s">
        <v>12</v>
      </c>
      <c r="AE27" s="26" t="s">
        <v>13</v>
      </c>
      <c r="AF27" s="53" t="s">
        <v>14</v>
      </c>
      <c r="AH27" s="54"/>
      <c r="AI27" s="54"/>
      <c r="AJ27" s="54"/>
    </row>
    <row r="28" spans="1:46" ht="12.75" customHeight="1" x14ac:dyDescent="0.25">
      <c r="A28" s="36" t="s">
        <v>0</v>
      </c>
      <c r="B28" s="20">
        <v>1</v>
      </c>
      <c r="C28" s="21">
        <v>1.1460999999999999</v>
      </c>
      <c r="D28" s="21">
        <v>-2.2536</v>
      </c>
      <c r="E28" s="21">
        <v>0.62590000000000001</v>
      </c>
      <c r="F28" s="43"/>
      <c r="G28" s="43"/>
      <c r="H28" s="21">
        <v>1.0959000000000001</v>
      </c>
      <c r="I28" s="21">
        <v>5.5864000000000003</v>
      </c>
      <c r="J28" s="37">
        <v>-1.9948999999999999</v>
      </c>
      <c r="L28" s="36" t="s">
        <v>29</v>
      </c>
      <c r="M28" s="20">
        <v>2</v>
      </c>
      <c r="N28" s="21">
        <v>1.2181999999999999</v>
      </c>
      <c r="O28" s="21">
        <v>-0.18090000000000001</v>
      </c>
      <c r="P28" s="21">
        <v>2.1399999999999999E-2</v>
      </c>
      <c r="Q28" s="21"/>
      <c r="S28" s="21">
        <v>1.68</v>
      </c>
      <c r="T28" s="21">
        <v>0.99</v>
      </c>
      <c r="U28" s="37">
        <v>-0.33</v>
      </c>
      <c r="W28" s="36" t="s">
        <v>29</v>
      </c>
      <c r="X28" s="20">
        <v>2</v>
      </c>
      <c r="Y28" s="20">
        <v>1.2299</v>
      </c>
      <c r="Z28" s="20">
        <v>-0.39979999999999999</v>
      </c>
      <c r="AA28" s="20">
        <v>9.0999999999999998E-2</v>
      </c>
      <c r="AD28" s="20">
        <v>1.038</v>
      </c>
      <c r="AE28" s="20">
        <v>1.4213</v>
      </c>
      <c r="AF28" s="42">
        <v>-0.35449999999999998</v>
      </c>
      <c r="AH28" s="54" t="s">
        <v>54</v>
      </c>
      <c r="AI28" s="54"/>
      <c r="AJ28" s="54">
        <f>MATCH(Introduction!D20,Sex,0)</f>
        <v>3</v>
      </c>
    </row>
    <row r="29" spans="1:46" ht="12.75" customHeight="1" x14ac:dyDescent="0.25">
      <c r="A29" s="36" t="s">
        <v>1</v>
      </c>
      <c r="B29" s="20">
        <v>2</v>
      </c>
      <c r="C29" s="21">
        <v>1.2231000000000001</v>
      </c>
      <c r="D29" s="21">
        <v>-0.43009999999999998</v>
      </c>
      <c r="E29" s="21">
        <v>-0.22450000000000001</v>
      </c>
      <c r="F29" s="43"/>
      <c r="G29" s="43"/>
      <c r="H29" s="21">
        <v>1.2921</v>
      </c>
      <c r="I29" s="21">
        <v>5.5896999999999997</v>
      </c>
      <c r="J29" s="37">
        <v>0.36309999999999998</v>
      </c>
      <c r="L29" s="36" t="s">
        <v>30</v>
      </c>
      <c r="M29" s="20">
        <v>5</v>
      </c>
      <c r="N29" s="21">
        <v>1.2768999999999999</v>
      </c>
      <c r="O29" s="21">
        <v>-0.2268</v>
      </c>
      <c r="P29" s="21">
        <v>-0.1052</v>
      </c>
      <c r="Q29" s="21"/>
      <c r="S29" s="21">
        <v>2.19</v>
      </c>
      <c r="T29" s="21">
        <v>4.28</v>
      </c>
      <c r="U29" s="37">
        <v>0.02</v>
      </c>
      <c r="W29" s="36" t="s">
        <v>30</v>
      </c>
      <c r="X29" s="20">
        <v>3</v>
      </c>
      <c r="Y29" s="20">
        <v>1.1611</v>
      </c>
      <c r="Z29" s="20">
        <v>-0.24510000000000001</v>
      </c>
      <c r="AA29" s="20">
        <v>-7.9699999999999993E-2</v>
      </c>
      <c r="AD29" s="20">
        <v>1.6440999999999999</v>
      </c>
      <c r="AE29" s="20">
        <v>4.7042000000000002</v>
      </c>
      <c r="AF29" s="42">
        <v>6.4199999999999993E-2</v>
      </c>
      <c r="AH29" s="54"/>
      <c r="AI29" s="55" t="s">
        <v>55</v>
      </c>
      <c r="AJ29" s="54"/>
    </row>
    <row r="30" spans="1:46" ht="12.75" customHeight="1" x14ac:dyDescent="0.25">
      <c r="A30" s="36" t="s">
        <v>2</v>
      </c>
      <c r="B30" s="20">
        <v>3</v>
      </c>
      <c r="C30" s="21">
        <v>1.1593</v>
      </c>
      <c r="D30" s="21">
        <v>5.8099999999999999E-2</v>
      </c>
      <c r="E30" s="21">
        <v>-0.34789999999999999</v>
      </c>
      <c r="F30" s="43"/>
      <c r="G30" s="43"/>
      <c r="H30" s="21">
        <v>1.5021</v>
      </c>
      <c r="I30" s="21">
        <v>2.4691999999999998</v>
      </c>
      <c r="J30" s="37">
        <v>5.0926999999999998</v>
      </c>
      <c r="L30" s="36" t="s">
        <v>31</v>
      </c>
      <c r="M30" s="20">
        <v>5</v>
      </c>
      <c r="N30" s="21">
        <v>1.2730999999999999</v>
      </c>
      <c r="O30" s="21">
        <v>5.0000000000000001E-4</v>
      </c>
      <c r="P30" s="21">
        <v>-0.372</v>
      </c>
      <c r="Q30" s="21"/>
      <c r="S30" s="21">
        <v>0.71</v>
      </c>
      <c r="T30" s="21">
        <v>3.63</v>
      </c>
      <c r="U30" s="37">
        <v>6.36</v>
      </c>
      <c r="W30" s="36" t="s">
        <v>31</v>
      </c>
      <c r="X30" s="20">
        <v>5</v>
      </c>
      <c r="Y30" s="20">
        <v>1.2036</v>
      </c>
      <c r="Z30" s="20">
        <v>1.7100000000000001E-2</v>
      </c>
      <c r="AA30" s="20">
        <v>-0.29920000000000002</v>
      </c>
      <c r="AD30" s="20">
        <v>1.1068</v>
      </c>
      <c r="AE30" s="20">
        <v>3.3031999999999999</v>
      </c>
      <c r="AF30" s="42">
        <v>5.4463999999999997</v>
      </c>
      <c r="AH30" s="54"/>
      <c r="AI30" s="56" t="s">
        <v>56</v>
      </c>
      <c r="AJ30" s="54"/>
    </row>
    <row r="31" spans="1:46" ht="12.75" customHeight="1" x14ac:dyDescent="0.25">
      <c r="A31" s="36" t="s">
        <v>3</v>
      </c>
      <c r="B31" s="20">
        <v>5</v>
      </c>
      <c r="C31" s="21">
        <v>1.1404000000000001</v>
      </c>
      <c r="D31" s="21">
        <v>0.1991</v>
      </c>
      <c r="E31" s="21">
        <v>-0.34870000000000001</v>
      </c>
      <c r="F31" s="21"/>
      <c r="G31" s="21"/>
      <c r="H31" s="21">
        <v>1.9347000000000001</v>
      </c>
      <c r="I31" s="21">
        <v>-2.6419000000000001</v>
      </c>
      <c r="J31" s="37">
        <v>10.853300000000001</v>
      </c>
      <c r="L31" s="36" t="s">
        <v>0</v>
      </c>
      <c r="M31" s="20">
        <v>5</v>
      </c>
      <c r="N31" s="21">
        <v>1.2585</v>
      </c>
      <c r="O31" s="21">
        <v>0.1216</v>
      </c>
      <c r="P31" s="21">
        <v>-0.50129999999999997</v>
      </c>
      <c r="Q31" s="21"/>
      <c r="S31" s="21">
        <v>-1.96</v>
      </c>
      <c r="T31" s="21">
        <v>-0.71</v>
      </c>
      <c r="U31" s="37">
        <v>17.420000000000002</v>
      </c>
      <c r="W31" s="36" t="s">
        <v>0</v>
      </c>
      <c r="X31" s="20">
        <v>10</v>
      </c>
      <c r="Y31" s="20">
        <v>1.2773000000000001</v>
      </c>
      <c r="Z31" s="20">
        <v>0.10150000000000001</v>
      </c>
      <c r="AA31" s="20">
        <v>-0.42759999999999998</v>
      </c>
      <c r="AD31" s="20">
        <v>-0.86780000000000002</v>
      </c>
      <c r="AE31" s="20">
        <v>-1.9682999999999999</v>
      </c>
      <c r="AF31" s="42">
        <v>15.518700000000001</v>
      </c>
      <c r="AH31" s="54"/>
      <c r="AI31" s="57" t="s">
        <v>57</v>
      </c>
      <c r="AJ31" s="54"/>
    </row>
    <row r="32" spans="1:46" ht="12.75" customHeight="1" x14ac:dyDescent="0.25">
      <c r="A32" s="36" t="s">
        <v>4</v>
      </c>
      <c r="B32" s="20">
        <v>10</v>
      </c>
      <c r="C32" s="21">
        <v>1.1539999999999999</v>
      </c>
      <c r="D32" s="21">
        <v>0.25109999999999999</v>
      </c>
      <c r="E32" s="21">
        <v>-0.35060000000000002</v>
      </c>
      <c r="F32" s="21"/>
      <c r="G32" s="21"/>
      <c r="H32" s="21">
        <v>2.6196999999999999</v>
      </c>
      <c r="I32" s="21">
        <v>-8.9693000000000005</v>
      </c>
      <c r="J32" s="37">
        <v>17.098099999999999</v>
      </c>
      <c r="L32" s="36" t="s">
        <v>1</v>
      </c>
      <c r="M32" s="20">
        <v>10</v>
      </c>
      <c r="N32" s="21">
        <v>1.341</v>
      </c>
      <c r="O32" s="21">
        <v>0.1749</v>
      </c>
      <c r="P32" s="21">
        <v>-0.59640000000000004</v>
      </c>
      <c r="Q32" s="21"/>
      <c r="S32" s="21">
        <v>-4.0599999999999996</v>
      </c>
      <c r="T32" s="21">
        <v>-6.35</v>
      </c>
      <c r="U32" s="37">
        <v>29.14</v>
      </c>
      <c r="W32" s="36" t="s">
        <v>1</v>
      </c>
      <c r="X32" s="20">
        <v>15</v>
      </c>
      <c r="Y32" s="20">
        <v>1.3013999999999999</v>
      </c>
      <c r="Z32" s="20">
        <v>-2.1899999999999999E-2</v>
      </c>
      <c r="AA32" s="20">
        <v>-0.41949999999999998</v>
      </c>
      <c r="AD32" s="20">
        <v>-3.2153999999999998</v>
      </c>
      <c r="AE32" s="20">
        <v>-4.1123000000000003</v>
      </c>
      <c r="AF32" s="42">
        <v>24.862400000000001</v>
      </c>
      <c r="AH32" s="54"/>
      <c r="AI32" s="54"/>
      <c r="AJ32" s="54"/>
    </row>
    <row r="33" spans="1:36" ht="12.75" customHeight="1" x14ac:dyDescent="0.25">
      <c r="A33" s="36" t="s">
        <v>5</v>
      </c>
      <c r="B33" s="20">
        <v>15</v>
      </c>
      <c r="C33" s="21">
        <v>1.1335999999999999</v>
      </c>
      <c r="D33" s="21">
        <v>0.25559999999999999</v>
      </c>
      <c r="E33" s="21">
        <v>-0.34279999999999999</v>
      </c>
      <c r="F33" s="21"/>
      <c r="G33" s="21"/>
      <c r="H33" s="21">
        <v>4.1317000000000004</v>
      </c>
      <c r="I33" s="21">
        <v>-14.355</v>
      </c>
      <c r="J33" s="37">
        <v>21.8247</v>
      </c>
      <c r="L33" s="36"/>
      <c r="U33" s="42"/>
      <c r="W33" s="36" t="s">
        <v>2</v>
      </c>
      <c r="X33" s="20">
        <v>20</v>
      </c>
      <c r="Y33" s="83">
        <v>1.3160000000000001</v>
      </c>
      <c r="Z33" s="23">
        <v>-0.16300000000000001</v>
      </c>
      <c r="AA33" s="20">
        <v>-0.37509999999999999</v>
      </c>
      <c r="AD33" s="20">
        <v>-3.3885000000000001</v>
      </c>
      <c r="AE33" s="20">
        <v>1.6746000000000001</v>
      </c>
      <c r="AF33" s="42">
        <v>26.979800000000001</v>
      </c>
      <c r="AH33" s="54" t="s">
        <v>88</v>
      </c>
      <c r="AI33" s="54"/>
      <c r="AJ33" s="54">
        <f>VLOOKUP(100*AJ8+10*AJ12+AJ23,$AI$34:$AI$50,1,FALSE)</f>
        <v>141</v>
      </c>
    </row>
    <row r="34" spans="1:36" ht="12.75" customHeight="1" x14ac:dyDescent="0.25">
      <c r="A34" s="36" t="s">
        <v>6</v>
      </c>
      <c r="B34" s="20">
        <v>20</v>
      </c>
      <c r="C34" s="21">
        <v>1.1201000000000001</v>
      </c>
      <c r="D34" s="21">
        <v>0.23619999999999999</v>
      </c>
      <c r="E34" s="21">
        <v>-0.32679999999999998</v>
      </c>
      <c r="F34" s="21"/>
      <c r="G34" s="21"/>
      <c r="H34" s="21">
        <v>7.3657000000000004</v>
      </c>
      <c r="I34" s="21">
        <v>-15.808299999999999</v>
      </c>
      <c r="J34" s="37">
        <v>22.3005</v>
      </c>
      <c r="L34" s="36"/>
      <c r="U34" s="42"/>
      <c r="W34" s="36"/>
      <c r="AF34" s="42"/>
      <c r="AH34" s="54"/>
      <c r="AI34" s="55">
        <v>111</v>
      </c>
      <c r="AJ34" s="54"/>
    </row>
    <row r="35" spans="1:36" ht="12.75" customHeight="1" x14ac:dyDescent="0.25">
      <c r="A35" s="36"/>
      <c r="J35" s="42"/>
      <c r="L35" s="36"/>
      <c r="U35" s="42"/>
      <c r="W35" s="36"/>
      <c r="AF35" s="42"/>
      <c r="AH35" s="54"/>
      <c r="AI35" s="56">
        <v>121</v>
      </c>
      <c r="AJ35" s="54"/>
    </row>
    <row r="36" spans="1:36" ht="12.75" customHeight="1" x14ac:dyDescent="0.25">
      <c r="A36" s="36"/>
      <c r="J36" s="42"/>
      <c r="L36" s="36"/>
      <c r="U36" s="42"/>
      <c r="W36" s="36"/>
      <c r="AF36" s="42"/>
      <c r="AH36" s="54"/>
      <c r="AI36" s="56">
        <v>131</v>
      </c>
      <c r="AJ36" s="54"/>
    </row>
    <row r="37" spans="1:36" ht="15" customHeight="1" x14ac:dyDescent="0.25">
      <c r="A37" s="158" t="s">
        <v>20</v>
      </c>
      <c r="B37" s="158"/>
      <c r="C37" s="158"/>
      <c r="D37" s="158"/>
      <c r="E37" s="158"/>
      <c r="F37" s="158"/>
      <c r="G37" s="158"/>
      <c r="H37" s="158"/>
      <c r="I37" s="158"/>
      <c r="J37" s="159"/>
      <c r="K37" s="24"/>
      <c r="L37" s="35"/>
      <c r="M37" s="24"/>
      <c r="N37" s="158" t="s">
        <v>20</v>
      </c>
      <c r="O37" s="158"/>
      <c r="P37" s="158"/>
      <c r="Q37" s="158"/>
      <c r="R37" s="158"/>
      <c r="S37" s="158"/>
      <c r="T37" s="158"/>
      <c r="U37" s="159"/>
      <c r="V37" s="24"/>
      <c r="W37" s="35"/>
      <c r="X37" s="24"/>
      <c r="Y37" s="158" t="s">
        <v>20</v>
      </c>
      <c r="Z37" s="158"/>
      <c r="AA37" s="158"/>
      <c r="AB37" s="158"/>
      <c r="AC37" s="158"/>
      <c r="AD37" s="158"/>
      <c r="AE37" s="158"/>
      <c r="AF37" s="159"/>
      <c r="AH37" s="54"/>
      <c r="AI37" s="56">
        <v>141</v>
      </c>
      <c r="AJ37" s="54"/>
    </row>
    <row r="38" spans="1:36" ht="12.75" customHeight="1" x14ac:dyDescent="0.25">
      <c r="A38" s="51" t="s">
        <v>53</v>
      </c>
      <c r="B38" s="52" t="s">
        <v>28</v>
      </c>
      <c r="C38" s="26" t="s">
        <v>8</v>
      </c>
      <c r="D38" s="26" t="s">
        <v>9</v>
      </c>
      <c r="E38" s="26" t="s">
        <v>10</v>
      </c>
      <c r="F38" s="26" t="s">
        <v>11</v>
      </c>
      <c r="G38" s="26"/>
      <c r="H38" s="26" t="s">
        <v>12</v>
      </c>
      <c r="I38" s="26" t="s">
        <v>13</v>
      </c>
      <c r="J38" s="53" t="s">
        <v>14</v>
      </c>
      <c r="L38" s="51" t="s">
        <v>82</v>
      </c>
      <c r="M38" s="52" t="s">
        <v>28</v>
      </c>
      <c r="N38" s="26" t="s">
        <v>8</v>
      </c>
      <c r="O38" s="26" t="s">
        <v>9</v>
      </c>
      <c r="P38" s="26" t="s">
        <v>10</v>
      </c>
      <c r="Q38" s="26"/>
      <c r="R38" s="26"/>
      <c r="S38" s="26" t="s">
        <v>12</v>
      </c>
      <c r="T38" s="26" t="s">
        <v>13</v>
      </c>
      <c r="U38" s="53" t="s">
        <v>14</v>
      </c>
      <c r="W38" s="51" t="s">
        <v>82</v>
      </c>
      <c r="X38" s="52" t="s">
        <v>28</v>
      </c>
      <c r="Y38" s="26" t="s">
        <v>8</v>
      </c>
      <c r="Z38" s="26" t="s">
        <v>9</v>
      </c>
      <c r="AA38" s="26" t="s">
        <v>10</v>
      </c>
      <c r="AB38" s="26"/>
      <c r="AC38" s="26"/>
      <c r="AD38" s="26" t="s">
        <v>12</v>
      </c>
      <c r="AE38" s="26" t="s">
        <v>13</v>
      </c>
      <c r="AF38" s="53" t="s">
        <v>14</v>
      </c>
      <c r="AH38" s="54"/>
      <c r="AI38" s="56">
        <v>211</v>
      </c>
      <c r="AJ38" s="54"/>
    </row>
    <row r="39" spans="1:36" ht="12.75" customHeight="1" x14ac:dyDescent="0.25">
      <c r="A39" s="36" t="s">
        <v>0</v>
      </c>
      <c r="B39" s="20">
        <v>1</v>
      </c>
      <c r="C39" s="21">
        <v>1.1415</v>
      </c>
      <c r="D39" s="21">
        <v>-2.7069999999999999</v>
      </c>
      <c r="E39" s="21">
        <v>0.76629999999999998</v>
      </c>
      <c r="F39" s="21"/>
      <c r="G39" s="21"/>
      <c r="H39" s="21">
        <v>1.097</v>
      </c>
      <c r="I39" s="21">
        <v>5.5628000000000002</v>
      </c>
      <c r="J39" s="37">
        <v>-1.9956</v>
      </c>
      <c r="L39" s="36" t="s">
        <v>29</v>
      </c>
      <c r="M39" s="20">
        <v>2</v>
      </c>
      <c r="N39" s="21">
        <v>1.2049000000000001</v>
      </c>
      <c r="O39" s="21">
        <v>-0.15529999999999999</v>
      </c>
      <c r="P39" s="21">
        <v>1.35E-2</v>
      </c>
      <c r="S39" s="21">
        <v>1.7</v>
      </c>
      <c r="T39" s="21">
        <v>1.03</v>
      </c>
      <c r="U39" s="37">
        <v>-0.34</v>
      </c>
      <c r="W39" s="36" t="s">
        <v>29</v>
      </c>
      <c r="X39" s="20">
        <v>2</v>
      </c>
      <c r="Y39" s="20">
        <v>1.2584</v>
      </c>
      <c r="Z39" s="20">
        <v>-0.46829999999999999</v>
      </c>
      <c r="AA39" s="20">
        <v>0.108</v>
      </c>
      <c r="AD39" s="20">
        <v>1.0348999999999999</v>
      </c>
      <c r="AE39" s="20">
        <v>1.3714</v>
      </c>
      <c r="AF39" s="42">
        <v>-0.33900000000000002</v>
      </c>
      <c r="AH39" s="54"/>
      <c r="AI39" s="56">
        <v>221</v>
      </c>
      <c r="AJ39" s="54"/>
    </row>
    <row r="40" spans="1:36" ht="12.75" customHeight="1" x14ac:dyDescent="0.25">
      <c r="A40" s="36" t="s">
        <v>1</v>
      </c>
      <c r="B40" s="20">
        <v>2</v>
      </c>
      <c r="C40" s="21">
        <v>1.2563</v>
      </c>
      <c r="D40" s="21">
        <v>-0.53810000000000002</v>
      </c>
      <c r="E40" s="21">
        <v>-0.26369999999999999</v>
      </c>
      <c r="F40" s="21"/>
      <c r="G40" s="21"/>
      <c r="H40" s="21">
        <v>1.3062</v>
      </c>
      <c r="I40" s="21">
        <v>5.5677000000000003</v>
      </c>
      <c r="J40" s="37">
        <v>0.29620000000000002</v>
      </c>
      <c r="L40" s="36" t="s">
        <v>30</v>
      </c>
      <c r="M40" s="20">
        <v>5</v>
      </c>
      <c r="N40" s="21">
        <v>1.2573000000000001</v>
      </c>
      <c r="O40" s="21">
        <v>-0.2266</v>
      </c>
      <c r="P40" s="21">
        <v>-9.4399999999999998E-2</v>
      </c>
      <c r="S40" s="21">
        <v>2.2000000000000002</v>
      </c>
      <c r="T40" s="21">
        <v>4.2</v>
      </c>
      <c r="U40" s="37">
        <v>0.06</v>
      </c>
      <c r="W40" s="36" t="s">
        <v>30</v>
      </c>
      <c r="X40" s="20">
        <v>3</v>
      </c>
      <c r="Y40" s="20">
        <v>1.1840999999999999</v>
      </c>
      <c r="Z40" s="20">
        <v>-0.30059999999999998</v>
      </c>
      <c r="AA40" s="20">
        <v>-8.9200000000000002E-2</v>
      </c>
      <c r="AD40" s="20">
        <v>1.6654</v>
      </c>
      <c r="AE40" s="20">
        <v>4.4588000000000001</v>
      </c>
      <c r="AF40" s="42">
        <v>2.3300000000000001E-2</v>
      </c>
      <c r="AH40" s="54"/>
      <c r="AI40" s="56">
        <v>231</v>
      </c>
      <c r="AJ40" s="54"/>
    </row>
    <row r="41" spans="1:36" ht="12.75" customHeight="1" x14ac:dyDescent="0.25">
      <c r="A41" s="36" t="s">
        <v>2</v>
      </c>
      <c r="B41" s="20">
        <v>3</v>
      </c>
      <c r="C41" s="21">
        <v>1.1851</v>
      </c>
      <c r="D41" s="21">
        <v>6.3299999999999995E-2</v>
      </c>
      <c r="E41" s="21">
        <v>-0.41770000000000002</v>
      </c>
      <c r="F41" s="21"/>
      <c r="G41" s="21"/>
      <c r="H41" s="21">
        <v>1.5305</v>
      </c>
      <c r="I41" s="21">
        <v>2.5528</v>
      </c>
      <c r="J41" s="37">
        <v>4.8962000000000003</v>
      </c>
      <c r="L41" s="36" t="s">
        <v>31</v>
      </c>
      <c r="M41" s="20">
        <v>5</v>
      </c>
      <c r="N41" s="21">
        <v>1.2431000000000001</v>
      </c>
      <c r="O41" s="21">
        <v>-2.3E-2</v>
      </c>
      <c r="P41" s="21">
        <v>-0.34089999999999998</v>
      </c>
      <c r="S41" s="21">
        <v>0.86</v>
      </c>
      <c r="T41" s="21">
        <v>3.47</v>
      </c>
      <c r="U41" s="37">
        <v>6.21</v>
      </c>
      <c r="W41" s="36" t="s">
        <v>31</v>
      </c>
      <c r="X41" s="20">
        <v>5</v>
      </c>
      <c r="Y41" s="20">
        <v>1.2445999999999999</v>
      </c>
      <c r="Z41" s="20">
        <v>1.3100000000000001E-2</v>
      </c>
      <c r="AA41" s="20">
        <v>-0.35549999999999998</v>
      </c>
      <c r="AD41" s="20">
        <v>1.2109000000000001</v>
      </c>
      <c r="AE41" s="20">
        <v>3.3290999999999999</v>
      </c>
      <c r="AF41" s="42">
        <v>5.1402000000000001</v>
      </c>
      <c r="AH41" s="54"/>
      <c r="AI41" s="56">
        <v>241</v>
      </c>
      <c r="AJ41" s="54"/>
    </row>
    <row r="42" spans="1:36" ht="12.75" customHeight="1" x14ac:dyDescent="0.25">
      <c r="A42" s="36" t="s">
        <v>3</v>
      </c>
      <c r="B42" s="20">
        <v>5</v>
      </c>
      <c r="C42" s="21">
        <v>1.1719999999999999</v>
      </c>
      <c r="D42" s="21">
        <v>0.2341</v>
      </c>
      <c r="E42" s="21">
        <v>-0.42720000000000002</v>
      </c>
      <c r="F42" s="21"/>
      <c r="G42" s="21"/>
      <c r="H42" s="21">
        <v>1.9991000000000001</v>
      </c>
      <c r="I42" s="21">
        <v>-2.4260999999999999</v>
      </c>
      <c r="J42" s="37">
        <v>10.4282</v>
      </c>
      <c r="L42" s="36" t="s">
        <v>0</v>
      </c>
      <c r="M42" s="20">
        <v>5</v>
      </c>
      <c r="N42" s="21">
        <v>1.2468999999999999</v>
      </c>
      <c r="O42" s="21">
        <v>9.9900000000000003E-2</v>
      </c>
      <c r="P42" s="21">
        <v>-0.52669999999999995</v>
      </c>
      <c r="S42" s="21">
        <v>-1.46</v>
      </c>
      <c r="T42" s="21">
        <v>-0.69</v>
      </c>
      <c r="U42" s="37">
        <v>16.489999999999998</v>
      </c>
      <c r="W42" s="36" t="s">
        <v>0</v>
      </c>
      <c r="X42" s="20">
        <v>10</v>
      </c>
      <c r="Y42" s="20">
        <v>1.3352999999999999</v>
      </c>
      <c r="Z42" s="20">
        <v>0.1157</v>
      </c>
      <c r="AA42" s="20">
        <v>-0.52449999999999997</v>
      </c>
      <c r="AD42" s="20">
        <v>-0.53700000000000003</v>
      </c>
      <c r="AE42" s="20">
        <v>-1.7679</v>
      </c>
      <c r="AF42" s="42">
        <v>14.637</v>
      </c>
      <c r="AH42" s="54"/>
      <c r="AI42" s="56">
        <v>251</v>
      </c>
      <c r="AJ42" s="54"/>
    </row>
    <row r="43" spans="1:36" ht="12.75" customHeight="1" x14ac:dyDescent="0.25">
      <c r="A43" s="36" t="s">
        <v>4</v>
      </c>
      <c r="B43" s="20">
        <v>10</v>
      </c>
      <c r="C43" s="21">
        <v>1.1865000000000001</v>
      </c>
      <c r="D43" s="21">
        <v>0.308</v>
      </c>
      <c r="E43" s="21">
        <v>-0.44519999999999998</v>
      </c>
      <c r="F43" s="21"/>
      <c r="G43" s="21"/>
      <c r="H43" s="21">
        <v>2.7631999999999999</v>
      </c>
      <c r="I43" s="21">
        <v>-8.4064999999999994</v>
      </c>
      <c r="J43" s="37">
        <v>16.178699999999999</v>
      </c>
      <c r="L43" s="36" t="s">
        <v>1</v>
      </c>
      <c r="M43" s="20">
        <v>10</v>
      </c>
      <c r="N43" s="21">
        <v>1.4258</v>
      </c>
      <c r="O43" s="21">
        <v>0.1948</v>
      </c>
      <c r="P43" s="21">
        <v>-0.74539999999999995</v>
      </c>
      <c r="S43" s="21">
        <v>-2.97</v>
      </c>
      <c r="T43" s="21">
        <v>-5.8</v>
      </c>
      <c r="U43" s="37">
        <v>26.65</v>
      </c>
      <c r="W43" s="36" t="s">
        <v>1</v>
      </c>
      <c r="X43" s="20">
        <v>15</v>
      </c>
      <c r="Y43" s="20">
        <v>1.3875</v>
      </c>
      <c r="Z43" s="20">
        <v>-1.9300000000000001E-2</v>
      </c>
      <c r="AA43" s="20">
        <v>-0.54720000000000002</v>
      </c>
      <c r="AD43" s="20">
        <v>-2.4693999999999998</v>
      </c>
      <c r="AE43" s="20">
        <v>-3.9194</v>
      </c>
      <c r="AF43" s="42">
        <v>23.099900000000002</v>
      </c>
      <c r="AH43" s="54"/>
      <c r="AI43" s="56">
        <v>112</v>
      </c>
      <c r="AJ43" s="54"/>
    </row>
    <row r="44" spans="1:36" ht="12.75" customHeight="1" x14ac:dyDescent="0.25">
      <c r="A44" s="36" t="s">
        <v>5</v>
      </c>
      <c r="B44" s="20">
        <v>15</v>
      </c>
      <c r="C44" s="21">
        <v>1.1746000000000001</v>
      </c>
      <c r="D44" s="21">
        <v>0.33139999999999997</v>
      </c>
      <c r="E44" s="21">
        <v>-0.45369999999999999</v>
      </c>
      <c r="F44" s="21"/>
      <c r="G44" s="21"/>
      <c r="H44" s="21">
        <v>4.3468</v>
      </c>
      <c r="I44" s="21">
        <v>-13.243600000000001</v>
      </c>
      <c r="J44" s="37">
        <v>20.199000000000002</v>
      </c>
      <c r="L44" s="44"/>
      <c r="M44" s="45"/>
      <c r="N44" s="45"/>
      <c r="O44" s="45"/>
      <c r="P44" s="45"/>
      <c r="Q44" s="45"/>
      <c r="R44" s="45"/>
      <c r="S44" s="45"/>
      <c r="T44" s="45"/>
      <c r="U44" s="46"/>
      <c r="W44" s="44" t="s">
        <v>2</v>
      </c>
      <c r="X44" s="45">
        <v>20</v>
      </c>
      <c r="Y44" s="45">
        <v>1.4227000000000001</v>
      </c>
      <c r="Z44" s="45">
        <v>-0.19539999999999999</v>
      </c>
      <c r="AA44" s="45">
        <v>-0.51270000000000004</v>
      </c>
      <c r="AB44" s="45"/>
      <c r="AC44" s="45"/>
      <c r="AD44" s="45">
        <v>-2.2107000000000001</v>
      </c>
      <c r="AE44" s="45">
        <v>1.3059000000000001</v>
      </c>
      <c r="AF44" s="46">
        <v>24.447900000000001</v>
      </c>
      <c r="AH44" s="54"/>
      <c r="AI44" s="56">
        <v>122</v>
      </c>
      <c r="AJ44" s="54"/>
    </row>
    <row r="45" spans="1:36" ht="12.75" customHeight="1" x14ac:dyDescent="0.25">
      <c r="A45" s="36" t="s">
        <v>6</v>
      </c>
      <c r="B45" s="20">
        <v>20</v>
      </c>
      <c r="C45" s="21">
        <v>1.1638999999999999</v>
      </c>
      <c r="D45" s="21">
        <v>0.31900000000000001</v>
      </c>
      <c r="E45" s="21">
        <v>-0.44350000000000001</v>
      </c>
      <c r="F45" s="21"/>
      <c r="G45" s="21"/>
      <c r="H45" s="21">
        <v>7.5242000000000004</v>
      </c>
      <c r="I45" s="21">
        <v>-14.2013</v>
      </c>
      <c r="J45" s="37">
        <v>20.016200000000001</v>
      </c>
      <c r="AH45" s="54"/>
      <c r="AI45" s="56">
        <v>132</v>
      </c>
      <c r="AJ45" s="54"/>
    </row>
    <row r="46" spans="1:36" ht="12.75" customHeight="1" x14ac:dyDescent="0.25">
      <c r="A46" s="36"/>
      <c r="J46" s="42"/>
      <c r="AH46" s="54"/>
      <c r="AI46" s="56">
        <v>142</v>
      </c>
      <c r="AJ46" s="54"/>
    </row>
    <row r="47" spans="1:36" ht="12.75" customHeight="1" x14ac:dyDescent="0.25">
      <c r="A47" s="36"/>
      <c r="J47" s="42"/>
      <c r="AH47" s="54"/>
      <c r="AI47" s="56">
        <v>113</v>
      </c>
      <c r="AJ47" s="54"/>
    </row>
    <row r="48" spans="1:36" ht="12.75" customHeight="1" x14ac:dyDescent="0.25">
      <c r="A48" s="158" t="s">
        <v>21</v>
      </c>
      <c r="B48" s="158"/>
      <c r="C48" s="158"/>
      <c r="D48" s="158"/>
      <c r="E48" s="158"/>
      <c r="F48" s="158"/>
      <c r="G48" s="158"/>
      <c r="H48" s="158"/>
      <c r="I48" s="158"/>
      <c r="J48" s="159"/>
      <c r="AH48" s="54"/>
      <c r="AI48" s="56">
        <v>123</v>
      </c>
      <c r="AJ48" s="54"/>
    </row>
    <row r="49" spans="1:36" ht="12.75" customHeight="1" x14ac:dyDescent="0.25">
      <c r="A49" s="51" t="s">
        <v>53</v>
      </c>
      <c r="B49" s="52" t="s">
        <v>28</v>
      </c>
      <c r="C49" s="26" t="s">
        <v>8</v>
      </c>
      <c r="D49" s="26" t="s">
        <v>9</v>
      </c>
      <c r="E49" s="26" t="s">
        <v>10</v>
      </c>
      <c r="F49" s="26" t="s">
        <v>11</v>
      </c>
      <c r="G49" s="26"/>
      <c r="H49" s="26" t="s">
        <v>12</v>
      </c>
      <c r="I49" s="26" t="s">
        <v>13</v>
      </c>
      <c r="J49" s="53" t="s">
        <v>14</v>
      </c>
      <c r="AH49" s="54"/>
      <c r="AI49" s="56">
        <v>133</v>
      </c>
      <c r="AJ49" s="54"/>
    </row>
    <row r="50" spans="1:36" ht="12.75" customHeight="1" x14ac:dyDescent="0.25">
      <c r="A50" s="36" t="s">
        <v>0</v>
      </c>
      <c r="B50" s="20">
        <v>1</v>
      </c>
      <c r="C50" s="21">
        <v>0.68920000000000003</v>
      </c>
      <c r="D50" s="21">
        <v>-1.6937</v>
      </c>
      <c r="E50" s="21">
        <v>0.64639999999999997</v>
      </c>
      <c r="F50" s="21">
        <v>1.06E-2</v>
      </c>
      <c r="H50" s="21">
        <v>1.1702999999999999</v>
      </c>
      <c r="I50" s="21">
        <v>0.51290000000000002</v>
      </c>
      <c r="J50" s="37">
        <v>-0.38500000000000001</v>
      </c>
      <c r="AH50" s="54"/>
      <c r="AI50" s="57">
        <v>143</v>
      </c>
      <c r="AJ50" s="54"/>
    </row>
    <row r="51" spans="1:36" ht="12.75" customHeight="1" x14ac:dyDescent="0.25">
      <c r="A51" s="36" t="s">
        <v>1</v>
      </c>
      <c r="B51" s="20">
        <v>2</v>
      </c>
      <c r="C51" s="21">
        <v>1.3625</v>
      </c>
      <c r="D51" s="21">
        <v>-0.37780000000000002</v>
      </c>
      <c r="E51" s="21">
        <v>-0.28920000000000001</v>
      </c>
      <c r="F51" s="21">
        <v>-4.1000000000000003E-3</v>
      </c>
      <c r="H51" s="21">
        <v>1.6955</v>
      </c>
      <c r="I51" s="21">
        <v>4.1319999999999997</v>
      </c>
      <c r="J51" s="37">
        <v>-0.16350000000000001</v>
      </c>
      <c r="AH51" s="54"/>
      <c r="AI51" s="54"/>
      <c r="AJ51" s="54"/>
    </row>
    <row r="52" spans="1:36" ht="12.75" customHeight="1" x14ac:dyDescent="0.25">
      <c r="A52" s="36" t="s">
        <v>2</v>
      </c>
      <c r="B52" s="20">
        <v>3</v>
      </c>
      <c r="C52" s="21">
        <v>1.0876999999999999</v>
      </c>
      <c r="D52" s="21">
        <v>1.9699999999999999E-2</v>
      </c>
      <c r="E52" s="21">
        <v>-0.29859999999999998</v>
      </c>
      <c r="F52" s="21">
        <v>2.3999999999999998E-3</v>
      </c>
      <c r="H52" s="21">
        <v>1.8295999999999999</v>
      </c>
      <c r="I52" s="21">
        <v>2.9020000000000001</v>
      </c>
      <c r="J52" s="37">
        <v>3.4706999999999999</v>
      </c>
    </row>
    <row r="53" spans="1:36" ht="12.75" customHeight="1" x14ac:dyDescent="0.25">
      <c r="A53" s="36" t="s">
        <v>3</v>
      </c>
      <c r="B53" s="20">
        <v>5</v>
      </c>
      <c r="C53" s="21">
        <v>0.75</v>
      </c>
      <c r="D53" s="21">
        <v>5.3199999999999997E-2</v>
      </c>
      <c r="E53" s="21">
        <v>-0.1106</v>
      </c>
      <c r="F53" s="21">
        <v>1.15E-2</v>
      </c>
      <c r="H53" s="21">
        <v>2.1783000000000001</v>
      </c>
      <c r="I53" s="21">
        <v>-2.5688</v>
      </c>
      <c r="J53" s="37">
        <v>9.0883000000000003</v>
      </c>
    </row>
    <row r="54" spans="1:36" ht="12.75" customHeight="1" x14ac:dyDescent="0.25">
      <c r="A54" s="36" t="s">
        <v>4</v>
      </c>
      <c r="B54" s="20">
        <v>10</v>
      </c>
      <c r="C54" s="21">
        <v>0.5605</v>
      </c>
      <c r="D54" s="21">
        <v>2.2200000000000001E-2</v>
      </c>
      <c r="E54" s="21">
        <v>1.7000000000000001E-2</v>
      </c>
      <c r="F54" s="21">
        <v>1.7100000000000001E-2</v>
      </c>
      <c r="H54" s="21">
        <v>2.8835999999999999</v>
      </c>
      <c r="I54" s="21">
        <v>-10.328200000000001</v>
      </c>
      <c r="J54" s="37">
        <v>15.430099999999999</v>
      </c>
    </row>
    <row r="55" spans="1:36" ht="12.75" customHeight="1" x14ac:dyDescent="0.25">
      <c r="A55" s="36" t="s">
        <v>5</v>
      </c>
      <c r="B55" s="20">
        <v>15</v>
      </c>
      <c r="C55" s="21">
        <v>0.50239999999999996</v>
      </c>
      <c r="D55" s="21">
        <v>2.8E-3</v>
      </c>
      <c r="E55" s="21">
        <v>4.7999999999999996E-3</v>
      </c>
      <c r="F55" s="21">
        <v>1.7999999999999999E-2</v>
      </c>
      <c r="H55" s="21">
        <v>4.4580000000000002</v>
      </c>
      <c r="I55" s="21">
        <v>-17.180900000000001</v>
      </c>
      <c r="J55" s="37">
        <v>20.429600000000001</v>
      </c>
    </row>
    <row r="56" spans="1:36" ht="12.75" customHeight="1" x14ac:dyDescent="0.25">
      <c r="A56" s="36" t="s">
        <v>6</v>
      </c>
      <c r="B56" s="20">
        <v>20</v>
      </c>
      <c r="C56" s="21">
        <v>0.53259999999999996</v>
      </c>
      <c r="D56" s="21">
        <v>5.1999999999999998E-3</v>
      </c>
      <c r="E56" s="21">
        <v>2.5600000000000001E-2</v>
      </c>
      <c r="F56" s="21">
        <v>1.6799999999999999E-2</v>
      </c>
      <c r="H56" s="21">
        <v>6.9351000000000003</v>
      </c>
      <c r="I56" s="21">
        <v>-19.3871</v>
      </c>
      <c r="J56" s="37">
        <v>23.400700000000001</v>
      </c>
    </row>
    <row r="57" spans="1:36" ht="12.75" customHeight="1" x14ac:dyDescent="0.25">
      <c r="A57" s="36"/>
      <c r="J57" s="42"/>
    </row>
    <row r="58" spans="1:36" ht="12.75" customHeight="1" x14ac:dyDescent="0.25">
      <c r="A58" s="36"/>
      <c r="J58" s="42"/>
    </row>
    <row r="59" spans="1:36" ht="12.75" customHeight="1" x14ac:dyDescent="0.25">
      <c r="A59" s="158" t="s">
        <v>22</v>
      </c>
      <c r="B59" s="158"/>
      <c r="C59" s="158" t="s">
        <v>22</v>
      </c>
      <c r="D59" s="158"/>
      <c r="E59" s="158"/>
      <c r="F59" s="158"/>
      <c r="G59" s="158"/>
      <c r="H59" s="158"/>
      <c r="I59" s="158"/>
      <c r="J59" s="159"/>
    </row>
    <row r="60" spans="1:36" ht="12.75" customHeight="1" x14ac:dyDescent="0.25">
      <c r="A60" s="51" t="s">
        <v>53</v>
      </c>
      <c r="B60" s="52" t="s">
        <v>28</v>
      </c>
      <c r="C60" s="26" t="s">
        <v>8</v>
      </c>
      <c r="D60" s="26" t="s">
        <v>9</v>
      </c>
      <c r="E60" s="26" t="s">
        <v>10</v>
      </c>
      <c r="F60" s="26" t="s">
        <v>11</v>
      </c>
      <c r="G60" s="26"/>
      <c r="H60" s="26" t="s">
        <v>12</v>
      </c>
      <c r="I60" s="26" t="s">
        <v>13</v>
      </c>
      <c r="J60" s="53" t="s">
        <v>14</v>
      </c>
    </row>
    <row r="61" spans="1:36" ht="12.75" customHeight="1" x14ac:dyDescent="0.25">
      <c r="A61" s="36" t="s">
        <v>0</v>
      </c>
      <c r="B61" s="20">
        <v>1</v>
      </c>
      <c r="C61" s="21">
        <v>0.82740000000000002</v>
      </c>
      <c r="D61" s="21">
        <v>-1.5853999999999999</v>
      </c>
      <c r="E61" s="21">
        <v>0.59489999999999998</v>
      </c>
      <c r="F61" s="21">
        <v>9.7000000000000003E-3</v>
      </c>
      <c r="G61" s="21"/>
      <c r="H61" s="21">
        <v>1.3091999999999999</v>
      </c>
      <c r="I61" s="21">
        <v>1.9474</v>
      </c>
      <c r="J61" s="37">
        <v>-0.79820000000000002</v>
      </c>
    </row>
    <row r="62" spans="1:36" ht="12.75" customHeight="1" x14ac:dyDescent="0.25">
      <c r="A62" s="36" t="s">
        <v>1</v>
      </c>
      <c r="B62" s="20">
        <v>2</v>
      </c>
      <c r="C62" s="21">
        <v>1.3129</v>
      </c>
      <c r="D62" s="21">
        <v>-0.2457</v>
      </c>
      <c r="E62" s="21">
        <v>-0.2329</v>
      </c>
      <c r="F62" s="21">
        <v>-3.0999999999999999E-3</v>
      </c>
      <c r="G62" s="21"/>
      <c r="H62" s="21">
        <v>1.6897</v>
      </c>
      <c r="I62" s="21">
        <v>4.6176000000000004</v>
      </c>
      <c r="J62" s="37">
        <v>-1.7299999999999999E-2</v>
      </c>
    </row>
    <row r="63" spans="1:36" ht="12.75" customHeight="1" x14ac:dyDescent="0.25">
      <c r="A63" s="36" t="s">
        <v>2</v>
      </c>
      <c r="B63" s="20">
        <v>3</v>
      </c>
      <c r="C63" s="21">
        <v>1.0631999999999999</v>
      </c>
      <c r="D63" s="21">
        <v>1.9599999999999999E-2</v>
      </c>
      <c r="E63" s="21">
        <v>-0.1996</v>
      </c>
      <c r="F63" s="21">
        <v>2.0999999999999999E-3</v>
      </c>
      <c r="G63" s="21"/>
      <c r="H63" s="21">
        <v>1.8368</v>
      </c>
      <c r="I63" s="21">
        <v>2.637</v>
      </c>
      <c r="J63" s="37">
        <v>4.0305</v>
      </c>
    </row>
    <row r="64" spans="1:36" ht="12.75" customHeight="1" x14ac:dyDescent="0.25">
      <c r="A64" s="36" t="s">
        <v>3</v>
      </c>
      <c r="B64" s="20">
        <v>5</v>
      </c>
      <c r="C64" s="21">
        <v>0.8236</v>
      </c>
      <c r="D64" s="21">
        <v>2.93E-2</v>
      </c>
      <c r="E64" s="21">
        <v>-6.8400000000000002E-2</v>
      </c>
      <c r="F64" s="21">
        <v>8.0999999999999996E-3</v>
      </c>
      <c r="G64" s="21"/>
      <c r="H64" s="21">
        <v>2.2035999999999998</v>
      </c>
      <c r="I64" s="21">
        <v>-3.3519999999999999</v>
      </c>
      <c r="J64" s="37">
        <v>9.9232999999999993</v>
      </c>
    </row>
    <row r="65" spans="1:10" ht="12.75" customHeight="1" x14ac:dyDescent="0.25">
      <c r="A65" s="36" t="s">
        <v>4</v>
      </c>
      <c r="B65" s="20">
        <v>10</v>
      </c>
      <c r="C65" s="21">
        <v>0.6895</v>
      </c>
      <c r="D65" s="21">
        <v>6.7999999999999996E-3</v>
      </c>
      <c r="E65" s="21">
        <v>3.2000000000000002E-3</v>
      </c>
      <c r="F65" s="21">
        <v>1.1900000000000001E-2</v>
      </c>
      <c r="G65" s="21"/>
      <c r="H65" s="21">
        <v>2.9954999999999998</v>
      </c>
      <c r="I65" s="21">
        <v>-11.401300000000001</v>
      </c>
      <c r="J65" s="37">
        <v>16.344100000000001</v>
      </c>
    </row>
    <row r="66" spans="1:10" ht="12.75" customHeight="1" x14ac:dyDescent="0.25">
      <c r="A66" s="36" t="s">
        <v>5</v>
      </c>
      <c r="B66" s="20">
        <v>15</v>
      </c>
      <c r="C66" s="21">
        <v>0.60980000000000001</v>
      </c>
      <c r="D66" s="21">
        <v>-1.4E-3</v>
      </c>
      <c r="E66" s="21">
        <v>1.66E-2</v>
      </c>
      <c r="F66" s="21">
        <v>1.41E-2</v>
      </c>
      <c r="G66" s="21"/>
      <c r="H66" s="21">
        <v>4.7733999999999996</v>
      </c>
      <c r="I66" s="21">
        <v>-17.885000000000002</v>
      </c>
      <c r="J66" s="37">
        <v>20.888300000000001</v>
      </c>
    </row>
    <row r="67" spans="1:10" ht="12.75" customHeight="1" x14ac:dyDescent="0.25">
      <c r="A67" s="36" t="s">
        <v>6</v>
      </c>
      <c r="B67" s="20">
        <v>20</v>
      </c>
      <c r="C67" s="21">
        <v>0.5615</v>
      </c>
      <c r="D67" s="21">
        <v>4.0000000000000001E-3</v>
      </c>
      <c r="E67" s="21">
        <v>7.3000000000000001E-3</v>
      </c>
      <c r="F67" s="21">
        <v>1.5900000000000001E-2</v>
      </c>
      <c r="G67" s="21"/>
      <c r="H67" s="21">
        <v>7.4494999999999996</v>
      </c>
      <c r="I67" s="21">
        <v>-19.051300000000001</v>
      </c>
      <c r="J67" s="37">
        <v>23.052900000000001</v>
      </c>
    </row>
    <row r="68" spans="1:10" ht="12.75" customHeight="1" x14ac:dyDescent="0.25">
      <c r="A68" s="36"/>
      <c r="J68" s="42"/>
    </row>
    <row r="69" spans="1:10" ht="12.75" customHeight="1" x14ac:dyDescent="0.25">
      <c r="A69" s="36"/>
      <c r="J69" s="42"/>
    </row>
    <row r="70" spans="1:10" ht="12.75" customHeight="1" x14ac:dyDescent="0.25">
      <c r="A70" s="158" t="s">
        <v>23</v>
      </c>
      <c r="B70" s="158"/>
      <c r="C70" s="158"/>
      <c r="D70" s="158"/>
      <c r="E70" s="158"/>
      <c r="F70" s="158"/>
      <c r="G70" s="158"/>
      <c r="H70" s="158"/>
      <c r="I70" s="158"/>
      <c r="J70" s="159"/>
    </row>
    <row r="71" spans="1:10" ht="12.75" customHeight="1" x14ac:dyDescent="0.25">
      <c r="A71" s="51" t="s">
        <v>53</v>
      </c>
      <c r="B71" s="52" t="s">
        <v>28</v>
      </c>
      <c r="C71" s="26" t="s">
        <v>8</v>
      </c>
      <c r="D71" s="26" t="s">
        <v>9</v>
      </c>
      <c r="E71" s="26" t="s">
        <v>10</v>
      </c>
      <c r="F71" s="26" t="s">
        <v>11</v>
      </c>
      <c r="G71" s="26"/>
      <c r="H71" s="26" t="s">
        <v>12</v>
      </c>
      <c r="I71" s="26" t="s">
        <v>13</v>
      </c>
      <c r="J71" s="53" t="s">
        <v>14</v>
      </c>
    </row>
    <row r="72" spans="1:10" ht="12.75" customHeight="1" x14ac:dyDescent="0.25">
      <c r="A72" s="36" t="s">
        <v>0</v>
      </c>
      <c r="B72" s="20">
        <v>1</v>
      </c>
      <c r="C72" s="21">
        <v>0.67490000000000006</v>
      </c>
      <c r="D72" s="21">
        <v>-1.758</v>
      </c>
      <c r="E72" s="21">
        <v>0.68049999999999999</v>
      </c>
      <c r="F72" s="21">
        <v>1.09E-2</v>
      </c>
      <c r="G72" s="21"/>
      <c r="H72" s="21">
        <v>1.1921999999999999</v>
      </c>
      <c r="I72" s="21">
        <v>0.79400000000000004</v>
      </c>
      <c r="J72" s="37">
        <v>-0.54249999999999998</v>
      </c>
    </row>
    <row r="73" spans="1:10" ht="12.75" customHeight="1" x14ac:dyDescent="0.25">
      <c r="A73" s="36" t="s">
        <v>1</v>
      </c>
      <c r="B73" s="20">
        <v>2</v>
      </c>
      <c r="C73" s="21">
        <v>1.3715999999999999</v>
      </c>
      <c r="D73" s="21">
        <v>-0.36520000000000002</v>
      </c>
      <c r="E73" s="21">
        <v>-0.29659999999999997</v>
      </c>
      <c r="F73" s="21">
        <v>-4.1000000000000003E-3</v>
      </c>
      <c r="G73" s="21"/>
      <c r="H73" s="21">
        <v>1.7173</v>
      </c>
      <c r="I73" s="21">
        <v>4.3117000000000001</v>
      </c>
      <c r="J73" s="37">
        <v>-0.1653</v>
      </c>
    </row>
    <row r="74" spans="1:10" ht="12.75" customHeight="1" x14ac:dyDescent="0.25">
      <c r="A74" s="36" t="s">
        <v>2</v>
      </c>
      <c r="B74" s="20">
        <v>3</v>
      </c>
      <c r="C74" s="21">
        <v>1.0899000000000001</v>
      </c>
      <c r="D74" s="21">
        <v>2.9899999999999999E-2</v>
      </c>
      <c r="E74" s="21">
        <v>-0.28870000000000001</v>
      </c>
      <c r="F74" s="21">
        <v>2.3999999999999998E-3</v>
      </c>
      <c r="G74" s="21"/>
      <c r="H74" s="21">
        <v>1.8631</v>
      </c>
      <c r="I74" s="21">
        <v>2.8767</v>
      </c>
      <c r="J74" s="37">
        <v>3.5848</v>
      </c>
    </row>
    <row r="75" spans="1:10" ht="12.75" customHeight="1" x14ac:dyDescent="0.25">
      <c r="A75" s="36" t="s">
        <v>3</v>
      </c>
      <c r="B75" s="20">
        <v>5</v>
      </c>
      <c r="C75" s="21">
        <v>0.76939999999999997</v>
      </c>
      <c r="D75" s="21">
        <v>5.4800000000000001E-2</v>
      </c>
      <c r="E75" s="21">
        <v>-9.3399999999999997E-2</v>
      </c>
      <c r="F75" s="21">
        <v>1.0800000000000001E-2</v>
      </c>
      <c r="G75" s="21"/>
      <c r="H75" s="21">
        <v>2.1808000000000001</v>
      </c>
      <c r="I75" s="21">
        <v>-2.7219000000000002</v>
      </c>
      <c r="J75" s="37">
        <v>9.3704999999999998</v>
      </c>
    </row>
    <row r="76" spans="1:10" ht="12.75" customHeight="1" x14ac:dyDescent="0.25">
      <c r="A76" s="36" t="s">
        <v>4</v>
      </c>
      <c r="B76" s="20">
        <v>10</v>
      </c>
      <c r="C76" s="21">
        <v>0.61560000000000004</v>
      </c>
      <c r="D76" s="21">
        <v>2.3099999999999999E-2</v>
      </c>
      <c r="E76" s="21">
        <v>2.98E-2</v>
      </c>
      <c r="F76" s="21">
        <v>1.49E-2</v>
      </c>
      <c r="G76" s="21"/>
      <c r="H76" s="21">
        <v>2.7654000000000001</v>
      </c>
      <c r="I76" s="21">
        <v>-10.880800000000001</v>
      </c>
      <c r="J76" s="37">
        <v>16.2255</v>
      </c>
    </row>
    <row r="77" spans="1:10" ht="12.75" customHeight="1" x14ac:dyDescent="0.25">
      <c r="A77" s="36" t="s">
        <v>5</v>
      </c>
      <c r="B77" s="20">
        <v>15</v>
      </c>
      <c r="C77" s="21">
        <v>0.60770000000000002</v>
      </c>
      <c r="D77" s="21">
        <v>4.0000000000000001E-3</v>
      </c>
      <c r="E77" s="21">
        <v>5.7299999999999997E-2</v>
      </c>
      <c r="F77" s="21">
        <v>1.41E-2</v>
      </c>
      <c r="G77" s="21"/>
      <c r="H77" s="21">
        <v>4.1378000000000004</v>
      </c>
      <c r="I77" s="21">
        <v>-18.6219</v>
      </c>
      <c r="J77" s="37">
        <v>22.239000000000001</v>
      </c>
    </row>
    <row r="78" spans="1:10" ht="12.75" customHeight="1" x14ac:dyDescent="0.25">
      <c r="A78" s="36" t="s">
        <v>6</v>
      </c>
      <c r="B78" s="20">
        <v>20</v>
      </c>
      <c r="C78" s="21">
        <v>0.69520000000000004</v>
      </c>
      <c r="D78" s="21">
        <v>1.8E-3</v>
      </c>
      <c r="E78" s="21">
        <v>3.0599999999999999E-2</v>
      </c>
      <c r="F78" s="21">
        <v>1.09E-2</v>
      </c>
      <c r="G78" s="21"/>
      <c r="H78" s="21">
        <v>6.4885000000000002</v>
      </c>
      <c r="I78" s="21">
        <v>-22.200099999999999</v>
      </c>
      <c r="J78" s="37">
        <v>26.491099999999999</v>
      </c>
    </row>
    <row r="79" spans="1:10" ht="12.75" customHeight="1" x14ac:dyDescent="0.25">
      <c r="A79" s="36"/>
      <c r="J79" s="42"/>
    </row>
    <row r="80" spans="1:10" ht="12.75" customHeight="1" x14ac:dyDescent="0.25">
      <c r="A80" s="36"/>
      <c r="J80" s="42"/>
    </row>
    <row r="81" spans="1:10" ht="12.75" customHeight="1" x14ac:dyDescent="0.25">
      <c r="A81" s="158" t="s">
        <v>24</v>
      </c>
      <c r="B81" s="158"/>
      <c r="C81" s="158"/>
      <c r="D81" s="158"/>
      <c r="E81" s="158"/>
      <c r="F81" s="158"/>
      <c r="G81" s="158"/>
      <c r="H81" s="158"/>
      <c r="I81" s="158"/>
      <c r="J81" s="159"/>
    </row>
    <row r="82" spans="1:10" ht="12.75" customHeight="1" x14ac:dyDescent="0.25">
      <c r="A82" s="51" t="s">
        <v>53</v>
      </c>
      <c r="B82" s="52" t="s">
        <v>28</v>
      </c>
      <c r="C82" s="26" t="s">
        <v>8</v>
      </c>
      <c r="D82" s="26" t="s">
        <v>9</v>
      </c>
      <c r="E82" s="26" t="s">
        <v>10</v>
      </c>
      <c r="F82" s="26" t="s">
        <v>11</v>
      </c>
      <c r="G82" s="26"/>
      <c r="H82" s="26" t="s">
        <v>12</v>
      </c>
      <c r="I82" s="26" t="s">
        <v>13</v>
      </c>
      <c r="J82" s="53" t="s">
        <v>14</v>
      </c>
    </row>
    <row r="83" spans="1:10" ht="12.75" customHeight="1" x14ac:dyDescent="0.25">
      <c r="A83" s="36" t="s">
        <v>0</v>
      </c>
      <c r="B83" s="20">
        <v>1</v>
      </c>
      <c r="C83" s="20">
        <v>0.71940000000000004</v>
      </c>
      <c r="D83" s="20">
        <v>-1.3143</v>
      </c>
      <c r="E83" s="20">
        <v>0.54320000000000002</v>
      </c>
      <c r="F83" s="20">
        <v>9.2999999999999992E-3</v>
      </c>
      <c r="H83" s="20">
        <v>1.2779</v>
      </c>
      <c r="I83" s="20">
        <v>1.5713999999999999</v>
      </c>
      <c r="J83" s="42">
        <v>-0.69940000000000002</v>
      </c>
    </row>
    <row r="84" spans="1:10" ht="12.75" customHeight="1" x14ac:dyDescent="0.25">
      <c r="A84" s="36" t="s">
        <v>1</v>
      </c>
      <c r="B84" s="20">
        <v>2</v>
      </c>
      <c r="C84" s="20">
        <v>1.2670999999999999</v>
      </c>
      <c r="D84" s="20">
        <v>-0.29959999999999998</v>
      </c>
      <c r="E84" s="20">
        <v>-0.21049999999999999</v>
      </c>
      <c r="F84" s="20">
        <v>-2.8999999999999998E-3</v>
      </c>
      <c r="H84" s="20">
        <v>1.7471000000000001</v>
      </c>
      <c r="I84" s="20">
        <v>4.2637999999999998</v>
      </c>
      <c r="J84" s="42">
        <v>-7.5200000000000003E-2</v>
      </c>
    </row>
    <row r="85" spans="1:10" ht="12.75" customHeight="1" x14ac:dyDescent="0.25">
      <c r="A85" s="36" t="s">
        <v>2</v>
      </c>
      <c r="B85" s="20">
        <v>3</v>
      </c>
      <c r="C85" s="20">
        <v>1.0668</v>
      </c>
      <c r="D85" s="20">
        <v>1.6999999999999999E-3</v>
      </c>
      <c r="E85" s="20">
        <v>-0.2424</v>
      </c>
      <c r="F85" s="20">
        <v>1.9E-3</v>
      </c>
      <c r="H85" s="20">
        <v>1.9107000000000001</v>
      </c>
      <c r="I85" s="20">
        <v>2.7284999999999999</v>
      </c>
      <c r="J85" s="42">
        <v>3.5880999999999998</v>
      </c>
    </row>
    <row r="86" spans="1:10" ht="12.75" customHeight="1" x14ac:dyDescent="0.25">
      <c r="A86" s="36" t="s">
        <v>3</v>
      </c>
      <c r="B86" s="20">
        <v>5</v>
      </c>
      <c r="C86" s="20">
        <v>0.7833</v>
      </c>
      <c r="D86" s="20">
        <v>3.0700000000000002E-2</v>
      </c>
      <c r="E86" s="20">
        <v>-0.1103</v>
      </c>
      <c r="F86" s="20">
        <v>9.7999999999999997E-3</v>
      </c>
      <c r="H86" s="20">
        <v>2.3172000000000001</v>
      </c>
      <c r="I86" s="20">
        <v>-2.6259000000000001</v>
      </c>
      <c r="J86" s="42">
        <v>9.0237999999999996</v>
      </c>
    </row>
    <row r="87" spans="1:10" ht="12.75" customHeight="1" x14ac:dyDescent="0.25">
      <c r="A87" s="36" t="s">
        <v>4</v>
      </c>
      <c r="B87" s="20">
        <v>10</v>
      </c>
      <c r="C87" s="20">
        <v>0.57650000000000001</v>
      </c>
      <c r="D87" s="20">
        <v>6.7999999999999996E-3</v>
      </c>
      <c r="E87" s="20">
        <v>-2.0199999999999999E-2</v>
      </c>
      <c r="F87" s="20">
        <v>1.6500000000000001E-2</v>
      </c>
      <c r="H87" s="20">
        <v>3.2086999999999999</v>
      </c>
      <c r="I87" s="20">
        <v>-9.8890999999999991</v>
      </c>
      <c r="J87" s="42">
        <v>14.7339</v>
      </c>
    </row>
    <row r="88" spans="1:10" ht="12.75" customHeight="1" x14ac:dyDescent="0.25">
      <c r="A88" s="36" t="s">
        <v>5</v>
      </c>
      <c r="B88" s="20">
        <v>15</v>
      </c>
      <c r="C88" s="20">
        <v>0.41149999999999998</v>
      </c>
      <c r="D88" s="20">
        <v>1.4E-3</v>
      </c>
      <c r="E88" s="20">
        <v>8.3000000000000001E-3</v>
      </c>
      <c r="F88" s="20">
        <v>2.1299999999999999E-2</v>
      </c>
      <c r="H88" s="20">
        <v>5.1140999999999996</v>
      </c>
      <c r="I88" s="20">
        <v>-15.3263</v>
      </c>
      <c r="J88" s="42">
        <v>18.250699999999998</v>
      </c>
    </row>
    <row r="89" spans="1:10" ht="12.75" customHeight="1" x14ac:dyDescent="0.25">
      <c r="A89" s="36" t="s">
        <v>6</v>
      </c>
      <c r="B89" s="20">
        <v>20</v>
      </c>
      <c r="C89" s="20">
        <v>0.30709999999999998</v>
      </c>
      <c r="D89" s="20">
        <v>1.11E-2</v>
      </c>
      <c r="E89" s="20">
        <v>1.29E-2</v>
      </c>
      <c r="F89" s="20">
        <v>2.5100000000000001E-2</v>
      </c>
      <c r="H89" s="20">
        <v>7.6383000000000001</v>
      </c>
      <c r="I89" s="20">
        <v>-15.5739</v>
      </c>
      <c r="J89" s="42">
        <v>19.7669</v>
      </c>
    </row>
    <row r="90" spans="1:10" ht="12.75" customHeight="1" x14ac:dyDescent="0.25">
      <c r="A90" s="36"/>
      <c r="J90" s="42"/>
    </row>
    <row r="91" spans="1:10" ht="12.75" customHeight="1" x14ac:dyDescent="0.25">
      <c r="A91" s="36"/>
      <c r="J91" s="42"/>
    </row>
    <row r="92" spans="1:10" ht="12.75" customHeight="1" x14ac:dyDescent="0.25">
      <c r="A92" s="158" t="s">
        <v>25</v>
      </c>
      <c r="B92" s="158"/>
      <c r="C92" s="158"/>
      <c r="D92" s="158"/>
      <c r="E92" s="158"/>
      <c r="F92" s="158"/>
      <c r="G92" s="158"/>
      <c r="H92" s="158"/>
      <c r="I92" s="158"/>
      <c r="J92" s="159"/>
    </row>
    <row r="93" spans="1:10" ht="12.75" customHeight="1" x14ac:dyDescent="0.25">
      <c r="A93" s="51" t="s">
        <v>53</v>
      </c>
      <c r="B93" s="52" t="s">
        <v>28</v>
      </c>
      <c r="C93" s="26" t="s">
        <v>8</v>
      </c>
      <c r="D93" s="26" t="s">
        <v>9</v>
      </c>
      <c r="E93" s="26" t="s">
        <v>10</v>
      </c>
      <c r="F93" s="26" t="s">
        <v>11</v>
      </c>
      <c r="G93" s="26"/>
      <c r="H93" s="26" t="s">
        <v>12</v>
      </c>
      <c r="I93" s="26" t="s">
        <v>13</v>
      </c>
      <c r="J93" s="53" t="s">
        <v>14</v>
      </c>
    </row>
    <row r="94" spans="1:10" ht="12.75" customHeight="1" x14ac:dyDescent="0.25">
      <c r="A94" s="36" t="s">
        <v>0</v>
      </c>
      <c r="B94" s="20">
        <v>1</v>
      </c>
      <c r="C94" s="21">
        <v>0.72099999999999997</v>
      </c>
      <c r="D94" s="21">
        <v>-1.4685999999999999</v>
      </c>
      <c r="E94" s="21">
        <v>0.5746</v>
      </c>
      <c r="F94" s="21">
        <v>9.4999999999999998E-3</v>
      </c>
      <c r="G94" s="21"/>
      <c r="H94" s="21">
        <v>1.2136</v>
      </c>
      <c r="I94" s="21">
        <v>0.97399999999999998</v>
      </c>
      <c r="J94" s="37">
        <v>-0.52470000000000006</v>
      </c>
    </row>
    <row r="95" spans="1:10" ht="12.75" customHeight="1" x14ac:dyDescent="0.25">
      <c r="A95" s="36" t="s">
        <v>1</v>
      </c>
      <c r="B95" s="20">
        <v>2</v>
      </c>
      <c r="C95" s="21">
        <v>1.3115000000000001</v>
      </c>
      <c r="D95" s="21">
        <v>-0.33600000000000002</v>
      </c>
      <c r="E95" s="21">
        <v>-0.2475</v>
      </c>
      <c r="F95" s="21">
        <v>-3.3999999999999998E-3</v>
      </c>
      <c r="G95" s="21"/>
      <c r="H95" s="21">
        <v>1.7024999999999999</v>
      </c>
      <c r="I95" s="21">
        <v>4.1569000000000003</v>
      </c>
      <c r="J95" s="37">
        <v>-0.1232</v>
      </c>
    </row>
    <row r="96" spans="1:10" ht="12.75" customHeight="1" x14ac:dyDescent="0.25">
      <c r="A96" s="36" t="s">
        <v>2</v>
      </c>
      <c r="B96" s="20">
        <v>3</v>
      </c>
      <c r="C96" s="21">
        <v>1.0768</v>
      </c>
      <c r="D96" s="21">
        <v>1.09E-2</v>
      </c>
      <c r="E96" s="21">
        <v>-0.26950000000000002</v>
      </c>
      <c r="F96" s="21">
        <v>2.0999999999999999E-3</v>
      </c>
      <c r="G96" s="21"/>
      <c r="H96" s="21">
        <v>1.8360000000000001</v>
      </c>
      <c r="I96" s="21">
        <v>2.8632</v>
      </c>
      <c r="J96" s="37">
        <v>3.5219999999999998</v>
      </c>
    </row>
    <row r="97" spans="1:10" ht="12.75" customHeight="1" x14ac:dyDescent="0.25">
      <c r="A97" s="36" t="s">
        <v>3</v>
      </c>
      <c r="B97" s="20">
        <v>5</v>
      </c>
      <c r="C97" s="21">
        <v>0.76819999999999999</v>
      </c>
      <c r="D97" s="21">
        <v>4.3900000000000002E-2</v>
      </c>
      <c r="E97" s="21">
        <v>-0.109</v>
      </c>
      <c r="F97" s="21">
        <v>1.0500000000000001E-2</v>
      </c>
      <c r="G97" s="21"/>
      <c r="H97" s="21">
        <v>2.1882000000000001</v>
      </c>
      <c r="I97" s="21">
        <v>-2.6520999999999999</v>
      </c>
      <c r="J97" s="37">
        <v>9.1960999999999995</v>
      </c>
    </row>
    <row r="98" spans="1:10" ht="12.75" customHeight="1" x14ac:dyDescent="0.25">
      <c r="A98" s="36" t="s">
        <v>4</v>
      </c>
      <c r="B98" s="20">
        <v>10</v>
      </c>
      <c r="C98" s="21">
        <v>0.57689999999999997</v>
      </c>
      <c r="D98" s="21">
        <v>1.7600000000000001E-2</v>
      </c>
      <c r="E98" s="21">
        <v>3.8E-3</v>
      </c>
      <c r="F98" s="21">
        <v>1.6500000000000001E-2</v>
      </c>
      <c r="G98" s="21"/>
      <c r="H98" s="21">
        <v>2.9681999999999999</v>
      </c>
      <c r="I98" s="21">
        <v>-10.305300000000001</v>
      </c>
      <c r="J98" s="37">
        <v>15.3161</v>
      </c>
    </row>
    <row r="99" spans="1:10" ht="12.75" customHeight="1" x14ac:dyDescent="0.25">
      <c r="A99" s="36" t="s">
        <v>5</v>
      </c>
      <c r="B99" s="20">
        <v>15</v>
      </c>
      <c r="C99" s="21">
        <v>0.48449999999999999</v>
      </c>
      <c r="D99" s="21">
        <v>3.3999999999999998E-3</v>
      </c>
      <c r="E99" s="21">
        <v>3.5999999999999999E-3</v>
      </c>
      <c r="F99" s="21">
        <v>1.8700000000000001E-2</v>
      </c>
      <c r="G99" s="21"/>
      <c r="H99" s="21">
        <v>4.6525999999999996</v>
      </c>
      <c r="I99" s="21">
        <v>-16.692</v>
      </c>
      <c r="J99" s="37">
        <v>19.853400000000001</v>
      </c>
    </row>
    <row r="100" spans="1:10" ht="12.75" customHeight="1" x14ac:dyDescent="0.25">
      <c r="A100" s="36" t="s">
        <v>6</v>
      </c>
      <c r="B100" s="20">
        <v>20</v>
      </c>
      <c r="C100" s="21">
        <v>0.47599999999999998</v>
      </c>
      <c r="D100" s="21">
        <v>7.1000000000000004E-3</v>
      </c>
      <c r="E100" s="21">
        <v>2.46E-2</v>
      </c>
      <c r="F100" s="21">
        <v>1.89E-2</v>
      </c>
      <c r="G100" s="21"/>
      <c r="H100" s="21">
        <v>7.1425000000000001</v>
      </c>
      <c r="I100" s="21">
        <v>-18.302099999999999</v>
      </c>
      <c r="J100" s="37">
        <v>22.416799999999999</v>
      </c>
    </row>
    <row r="101" spans="1:10" ht="12.75" customHeight="1" x14ac:dyDescent="0.25">
      <c r="A101" s="44"/>
      <c r="B101" s="45"/>
      <c r="C101" s="45"/>
      <c r="D101" s="45"/>
      <c r="E101" s="45"/>
      <c r="F101" s="45"/>
      <c r="G101" s="45"/>
      <c r="H101" s="45"/>
      <c r="I101" s="45"/>
      <c r="J101" s="46"/>
    </row>
  </sheetData>
  <sheetProtection sheet="1" objects="1" scenarios="1"/>
  <mergeCells count="29">
    <mergeCell ref="A1:J1"/>
    <mergeCell ref="L1:U1"/>
    <mergeCell ref="W1:AF1"/>
    <mergeCell ref="N4:U4"/>
    <mergeCell ref="Y4:AF4"/>
    <mergeCell ref="A4:J4"/>
    <mergeCell ref="H3:J3"/>
    <mergeCell ref="C3:E3"/>
    <mergeCell ref="N3:P3"/>
    <mergeCell ref="S3:U3"/>
    <mergeCell ref="Y3:AA3"/>
    <mergeCell ref="AD3:AF3"/>
    <mergeCell ref="A92:J92"/>
    <mergeCell ref="N15:U15"/>
    <mergeCell ref="Y15:AF15"/>
    <mergeCell ref="N26:U26"/>
    <mergeCell ref="Y26:AF26"/>
    <mergeCell ref="N37:U37"/>
    <mergeCell ref="Y37:AF37"/>
    <mergeCell ref="A15:J15"/>
    <mergeCell ref="A26:J26"/>
    <mergeCell ref="A37:J37"/>
    <mergeCell ref="AM5:AV5"/>
    <mergeCell ref="A48:J48"/>
    <mergeCell ref="A59:J59"/>
    <mergeCell ref="A70:J70"/>
    <mergeCell ref="A81:J81"/>
    <mergeCell ref="AH5:AJ5"/>
    <mergeCell ref="AM15:AN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3"/>
  <sheetViews>
    <sheetView workbookViewId="0">
      <selection activeCell="A12" sqref="A12"/>
    </sheetView>
  </sheetViews>
  <sheetFormatPr baseColWidth="10" defaultColWidth="9.109375" defaultRowHeight="13.2" x14ac:dyDescent="0.25"/>
  <cols>
    <col min="1" max="1" width="10.109375" style="20" customWidth="1"/>
    <col min="2" max="30" width="10" style="20" customWidth="1"/>
    <col min="31" max="16384" width="9.109375" style="20"/>
  </cols>
  <sheetData>
    <row r="1" spans="1:28" x14ac:dyDescent="0.25">
      <c r="A1" s="20" t="s">
        <v>52</v>
      </c>
      <c r="B1" s="20" t="s">
        <v>89</v>
      </c>
    </row>
    <row r="2" spans="1:28" hidden="1" x14ac:dyDescent="0.25">
      <c r="B2" s="20">
        <v>111</v>
      </c>
      <c r="C2" s="20">
        <v>112</v>
      </c>
      <c r="D2" s="20">
        <v>113</v>
      </c>
      <c r="E2" s="20">
        <v>121</v>
      </c>
      <c r="F2" s="20">
        <v>122</v>
      </c>
      <c r="G2" s="20">
        <v>123</v>
      </c>
      <c r="H2" s="20">
        <v>131</v>
      </c>
      <c r="I2" s="20">
        <v>132</v>
      </c>
      <c r="J2" s="20">
        <v>133</v>
      </c>
      <c r="K2" s="20">
        <v>141</v>
      </c>
      <c r="L2" s="20">
        <v>142</v>
      </c>
      <c r="M2" s="20">
        <v>143</v>
      </c>
      <c r="N2" s="20">
        <v>211</v>
      </c>
      <c r="O2" s="20">
        <v>212</v>
      </c>
      <c r="P2" s="20">
        <v>213</v>
      </c>
      <c r="Q2" s="20">
        <v>221</v>
      </c>
      <c r="R2" s="20">
        <v>222</v>
      </c>
      <c r="S2" s="20">
        <v>223</v>
      </c>
      <c r="T2" s="20">
        <v>231</v>
      </c>
      <c r="U2" s="20">
        <v>232</v>
      </c>
      <c r="V2" s="20">
        <v>233</v>
      </c>
      <c r="W2" s="20">
        <v>241</v>
      </c>
      <c r="X2" s="20">
        <v>242</v>
      </c>
      <c r="Y2" s="20">
        <v>243</v>
      </c>
      <c r="Z2" s="20">
        <v>251</v>
      </c>
      <c r="AA2" s="20">
        <v>252</v>
      </c>
      <c r="AB2" s="20">
        <v>253</v>
      </c>
    </row>
    <row r="3" spans="1:28" s="24" customFormat="1" ht="13.8" x14ac:dyDescent="0.25">
      <c r="B3" s="158" t="s">
        <v>32</v>
      </c>
      <c r="C3" s="158"/>
      <c r="D3" s="158"/>
      <c r="E3" s="158" t="s">
        <v>37</v>
      </c>
      <c r="F3" s="158"/>
      <c r="G3" s="158"/>
      <c r="H3" s="158" t="s">
        <v>38</v>
      </c>
      <c r="I3" s="158"/>
      <c r="J3" s="158"/>
      <c r="K3" s="158" t="s">
        <v>39</v>
      </c>
      <c r="L3" s="158"/>
      <c r="M3" s="158"/>
      <c r="N3" s="158" t="s">
        <v>62</v>
      </c>
      <c r="O3" s="158"/>
      <c r="P3" s="158"/>
      <c r="Q3" s="158" t="s">
        <v>63</v>
      </c>
      <c r="R3" s="158"/>
      <c r="S3" s="158"/>
      <c r="T3" s="158" t="s">
        <v>33</v>
      </c>
      <c r="U3" s="158"/>
      <c r="V3" s="158"/>
      <c r="W3" s="158" t="s">
        <v>64</v>
      </c>
      <c r="X3" s="158"/>
      <c r="Y3" s="158"/>
      <c r="Z3" s="158" t="s">
        <v>34</v>
      </c>
      <c r="AA3" s="158"/>
      <c r="AB3" s="158"/>
    </row>
    <row r="4" spans="1:28" s="24" customFormat="1" ht="13.8" x14ac:dyDescent="0.25">
      <c r="A4" s="52" t="s">
        <v>28</v>
      </c>
      <c r="B4" s="74" t="s">
        <v>59</v>
      </c>
      <c r="C4" s="75" t="s">
        <v>58</v>
      </c>
      <c r="D4" s="76" t="s">
        <v>60</v>
      </c>
      <c r="E4" s="74" t="s">
        <v>59</v>
      </c>
      <c r="F4" s="75" t="s">
        <v>58</v>
      </c>
      <c r="G4" s="76" t="s">
        <v>60</v>
      </c>
      <c r="H4" s="74" t="s">
        <v>59</v>
      </c>
      <c r="I4" s="75" t="s">
        <v>58</v>
      </c>
      <c r="J4" s="76" t="s">
        <v>60</v>
      </c>
      <c r="K4" s="74" t="s">
        <v>59</v>
      </c>
      <c r="L4" s="75" t="s">
        <v>58</v>
      </c>
      <c r="M4" s="76" t="s">
        <v>60</v>
      </c>
      <c r="N4" s="74" t="s">
        <v>59</v>
      </c>
      <c r="O4" s="75" t="s">
        <v>58</v>
      </c>
      <c r="P4" s="76" t="s">
        <v>60</v>
      </c>
      <c r="Q4" s="74" t="s">
        <v>59</v>
      </c>
      <c r="R4" s="75" t="s">
        <v>58</v>
      </c>
      <c r="S4" s="76" t="s">
        <v>60</v>
      </c>
      <c r="T4" s="74" t="s">
        <v>59</v>
      </c>
      <c r="U4" s="75" t="s">
        <v>58</v>
      </c>
      <c r="V4" s="76" t="s">
        <v>60</v>
      </c>
      <c r="W4" s="74" t="s">
        <v>59</v>
      </c>
      <c r="X4" s="75" t="s">
        <v>58</v>
      </c>
      <c r="Y4" s="76" t="s">
        <v>60</v>
      </c>
      <c r="Z4" s="74" t="s">
        <v>59</v>
      </c>
      <c r="AA4" s="75" t="s">
        <v>58</v>
      </c>
      <c r="AB4" s="76" t="s">
        <v>60</v>
      </c>
    </row>
    <row r="5" spans="1:28" x14ac:dyDescent="0.25">
      <c r="A5" s="20">
        <v>0</v>
      </c>
      <c r="B5" s="62"/>
      <c r="C5" s="22"/>
      <c r="D5" s="63"/>
      <c r="E5" s="62"/>
      <c r="F5" s="22"/>
      <c r="G5" s="63"/>
      <c r="H5" s="62"/>
      <c r="I5" s="22"/>
      <c r="J5" s="63"/>
      <c r="K5" s="62"/>
      <c r="L5" s="22"/>
      <c r="M5" s="63"/>
      <c r="N5" s="62"/>
      <c r="O5" s="22"/>
      <c r="P5" s="63"/>
      <c r="Q5" s="62"/>
      <c r="R5" s="22"/>
      <c r="S5" s="63"/>
      <c r="T5" s="62"/>
      <c r="U5" s="22"/>
      <c r="V5" s="63"/>
      <c r="W5" s="62"/>
      <c r="X5" s="22"/>
      <c r="Y5" s="63"/>
      <c r="Z5" s="62"/>
      <c r="AA5" s="22"/>
      <c r="AB5" s="63"/>
    </row>
    <row r="6" spans="1:28" x14ac:dyDescent="0.25">
      <c r="A6" s="20">
        <v>1</v>
      </c>
      <c r="B6" s="68">
        <v>-1.3391918682730433</v>
      </c>
      <c r="C6" s="69">
        <v>-1.3205376539073994</v>
      </c>
      <c r="D6" s="70">
        <v>-1.3300166619272631</v>
      </c>
      <c r="E6" s="68">
        <v>-1.149542994259372</v>
      </c>
      <c r="F6" s="69">
        <v>-1.1287564594165489</v>
      </c>
      <c r="G6" s="70">
        <v>-1.1393153104759235</v>
      </c>
      <c r="H6" s="68">
        <v>-1.1995667190344683</v>
      </c>
      <c r="I6" s="69">
        <v>-1.159057693334963</v>
      </c>
      <c r="J6" s="70">
        <v>-1.1794669380666578</v>
      </c>
      <c r="K6" s="68">
        <v>-1.3008882857309396</v>
      </c>
      <c r="L6" s="69">
        <v>-1.2828282862915501</v>
      </c>
      <c r="M6" s="70">
        <v>-1.2920084625948782</v>
      </c>
      <c r="N6" s="68">
        <v>-1.2244024839391032</v>
      </c>
      <c r="O6" s="69">
        <v>-1.23753030934175</v>
      </c>
      <c r="P6" s="70">
        <v>-1.2307700164916384</v>
      </c>
      <c r="Q6" s="68">
        <v>-1.1881811084640668</v>
      </c>
      <c r="R6" s="69">
        <v>-1.1106269288043862</v>
      </c>
      <c r="S6" s="70">
        <v>-1.1491210108255552</v>
      </c>
      <c r="T6" s="68">
        <v>-1.1633364561886397</v>
      </c>
      <c r="U6" s="69">
        <v>-1.1378733283421005</v>
      </c>
      <c r="V6" s="70">
        <v>-1.1507828765224926</v>
      </c>
      <c r="W6" s="68">
        <v>-1.4833929444880147</v>
      </c>
      <c r="X6" s="69">
        <v>-1.3772257268162487</v>
      </c>
      <c r="Y6" s="70">
        <v>-1.4290933741165424</v>
      </c>
      <c r="Z6" s="68">
        <v>-1.2808737879735403</v>
      </c>
      <c r="AA6" s="69">
        <v>-1.2702343228546582</v>
      </c>
      <c r="AB6" s="70">
        <v>-1.2756596114442857</v>
      </c>
    </row>
    <row r="7" spans="1:28" x14ac:dyDescent="0.25">
      <c r="A7" s="20">
        <v>2</v>
      </c>
      <c r="B7" s="68">
        <v>-1.2482713700005119</v>
      </c>
      <c r="C7" s="69">
        <v>-1.2060902889860654</v>
      </c>
      <c r="D7" s="70">
        <v>-1.2273209044445137</v>
      </c>
      <c r="E7" s="68">
        <v>-1.0529219229132221</v>
      </c>
      <c r="F7" s="69">
        <v>-1.0009991172979613</v>
      </c>
      <c r="G7" s="70">
        <v>-1.0270730854502448</v>
      </c>
      <c r="H7" s="68">
        <v>-1.1377253644533953</v>
      </c>
      <c r="I7" s="69">
        <v>-1.0733530126616093</v>
      </c>
      <c r="J7" s="70">
        <v>-1.1054931620988286</v>
      </c>
      <c r="K7" s="68">
        <v>-1.2215537498283509</v>
      </c>
      <c r="L7" s="69">
        <v>-1.1769512130842383</v>
      </c>
      <c r="M7" s="70">
        <v>-1.199382018993584</v>
      </c>
      <c r="N7" s="68">
        <v>-1.1230471529817474</v>
      </c>
      <c r="O7" s="69">
        <v>-1.1005760900291686</v>
      </c>
      <c r="P7" s="70">
        <v>-1.111984110632724</v>
      </c>
      <c r="Q7" s="68">
        <v>-1.1426712858304264</v>
      </c>
      <c r="R7" s="69">
        <v>-1.0453999629280153</v>
      </c>
      <c r="S7" s="70">
        <v>-1.0933348058002088</v>
      </c>
      <c r="T7" s="68">
        <v>-1.0463868502835159</v>
      </c>
      <c r="U7" s="69">
        <v>-1.0078054280696105</v>
      </c>
      <c r="V7" s="70">
        <v>-1.0272791625090567</v>
      </c>
      <c r="W7" s="68">
        <v>-1.4168729131570437</v>
      </c>
      <c r="X7" s="69">
        <v>-1.2912753803659804</v>
      </c>
      <c r="Y7" s="70">
        <v>-1.3521595311804706</v>
      </c>
      <c r="Z7" s="68">
        <v>-1.1994285555271815</v>
      </c>
      <c r="AA7" s="69">
        <v>-1.1587986927915868</v>
      </c>
      <c r="AB7" s="70">
        <v>-1.1792678283331384</v>
      </c>
    </row>
    <row r="8" spans="1:28" x14ac:dyDescent="0.25">
      <c r="A8" s="20">
        <v>3</v>
      </c>
      <c r="B8" s="68">
        <v>-1.1910198660531051</v>
      </c>
      <c r="C8" s="69">
        <v>-1.1415199407859422</v>
      </c>
      <c r="D8" s="70">
        <v>-1.1663695111648762</v>
      </c>
      <c r="E8" s="68">
        <v>-1.011641800202346</v>
      </c>
      <c r="F8" s="69">
        <v>-0.94932382970969997</v>
      </c>
      <c r="G8" s="70">
        <v>-0.98051169273159389</v>
      </c>
      <c r="H8" s="68">
        <v>-1.1122189169025767</v>
      </c>
      <c r="I8" s="69">
        <v>-1.039688949985299</v>
      </c>
      <c r="J8" s="70">
        <v>-1.0757976651113399</v>
      </c>
      <c r="K8" s="68">
        <v>-1.1859677355284142</v>
      </c>
      <c r="L8" s="69">
        <v>-1.1323859197276216</v>
      </c>
      <c r="M8" s="70">
        <v>-1.1592413135184099</v>
      </c>
      <c r="N8" s="68">
        <v>-1.0763916155281843</v>
      </c>
      <c r="O8" s="69">
        <v>-1.0398150394030004</v>
      </c>
      <c r="P8" s="70">
        <v>-1.0582869252092624</v>
      </c>
      <c r="Q8" s="68">
        <v>-1.1204664319857272</v>
      </c>
      <c r="R8" s="69">
        <v>-1.0161031266207456</v>
      </c>
      <c r="S8" s="70">
        <v>-1.0674114838312492</v>
      </c>
      <c r="T8" s="68">
        <v>-0.99614963621114883</v>
      </c>
      <c r="U8" s="69">
        <v>-0.95267015404496225</v>
      </c>
      <c r="V8" s="70">
        <v>-0.9745854680761824</v>
      </c>
      <c r="W8" s="68">
        <v>-1.3824458803830362</v>
      </c>
      <c r="X8" s="69">
        <v>-1.2510802529977294</v>
      </c>
      <c r="Y8" s="70">
        <v>-1.3146345295832591</v>
      </c>
      <c r="Z8" s="68">
        <v>-1.1601037320689203</v>
      </c>
      <c r="AA8" s="69">
        <v>-1.1075442776129736</v>
      </c>
      <c r="AB8" s="70">
        <v>-1.1339041157033591</v>
      </c>
    </row>
    <row r="9" spans="1:28" x14ac:dyDescent="0.25">
      <c r="A9" s="20">
        <v>4</v>
      </c>
      <c r="B9" s="68">
        <v>-1.1495155578742873</v>
      </c>
      <c r="C9" s="69">
        <v>-1.0955047349247578</v>
      </c>
      <c r="D9" s="70">
        <v>-1.1225793890829769</v>
      </c>
      <c r="E9" s="68">
        <v>-0.99004099456392958</v>
      </c>
      <c r="F9" s="69">
        <v>-0.92335583908746821</v>
      </c>
      <c r="G9" s="70">
        <v>-0.95668616163910714</v>
      </c>
      <c r="H9" s="68">
        <v>-1.095915405129446</v>
      </c>
      <c r="I9" s="69">
        <v>-1.0182341470351175</v>
      </c>
      <c r="J9" s="70">
        <v>-1.0568390913683008</v>
      </c>
      <c r="K9" s="68">
        <v>-1.162235485562451</v>
      </c>
      <c r="L9" s="69">
        <v>-1.1053871731772904</v>
      </c>
      <c r="M9" s="70">
        <v>-1.133848489507731</v>
      </c>
      <c r="N9" s="68">
        <v>-1.0483131224481017</v>
      </c>
      <c r="O9" s="69">
        <v>-1.0046334008611115</v>
      </c>
      <c r="P9" s="70">
        <v>-1.0266375793312168</v>
      </c>
      <c r="Q9" s="68">
        <v>-1.1064494491943582</v>
      </c>
      <c r="R9" s="69">
        <v>-0.99875000439963968</v>
      </c>
      <c r="S9" s="70">
        <v>-1.0516452658577295</v>
      </c>
      <c r="T9" s="68">
        <v>-0.96773940096371158</v>
      </c>
      <c r="U9" s="69">
        <v>-0.9220865668115743</v>
      </c>
      <c r="V9" s="70">
        <v>-0.94508557737724608</v>
      </c>
      <c r="W9" s="68">
        <v>-1.3597144854110406</v>
      </c>
      <c r="X9" s="69">
        <v>-1.2265311577755469</v>
      </c>
      <c r="Y9" s="70">
        <v>-1.2909394381592718</v>
      </c>
      <c r="Z9" s="68">
        <v>-1.1355661598497071</v>
      </c>
      <c r="AA9" s="69">
        <v>-1.0767436947993454</v>
      </c>
      <c r="AB9" s="70">
        <v>-1.1061781300895608</v>
      </c>
    </row>
    <row r="10" spans="1:28" x14ac:dyDescent="0.25">
      <c r="A10" s="20">
        <v>5</v>
      </c>
      <c r="B10" s="68">
        <v>-1.1185632260148939</v>
      </c>
      <c r="C10" s="69">
        <v>-1.061325256602174</v>
      </c>
      <c r="D10" s="70">
        <v>-1.0899897929411233</v>
      </c>
      <c r="E10" s="68">
        <v>-0.97803104804351482</v>
      </c>
      <c r="F10" s="69">
        <v>-0.90879111177777439</v>
      </c>
      <c r="G10" s="70">
        <v>-0.94337274491278955</v>
      </c>
      <c r="H10" s="68">
        <v>-1.0839281949744348</v>
      </c>
      <c r="I10" s="69">
        <v>-1.0034528162299363</v>
      </c>
      <c r="J10" s="70">
        <v>-1.0434107208936003</v>
      </c>
      <c r="K10" s="68">
        <v>-1.1443836734991739</v>
      </c>
      <c r="L10" s="69">
        <v>-1.0842444395521329</v>
      </c>
      <c r="M10" s="70">
        <v>-1.1143192900977046</v>
      </c>
      <c r="N10" s="68">
        <v>-1.0292629455595335</v>
      </c>
      <c r="O10" s="69">
        <v>-0.98147966750972182</v>
      </c>
      <c r="P10" s="70">
        <v>-1.005518141540678</v>
      </c>
      <c r="Q10" s="68">
        <v>-1.0965955555752871</v>
      </c>
      <c r="R10" s="69">
        <v>-0.98713578518709799</v>
      </c>
      <c r="S10" s="70">
        <v>-1.040870571612214</v>
      </c>
      <c r="T10" s="68">
        <v>-0.9494788835701552</v>
      </c>
      <c r="U10" s="69">
        <v>-0.90273094854934122</v>
      </c>
      <c r="V10" s="70">
        <v>-0.92627696607578747</v>
      </c>
      <c r="W10" s="68">
        <v>-1.3430952157810709</v>
      </c>
      <c r="X10" s="69">
        <v>-1.2095785232792193</v>
      </c>
      <c r="Y10" s="70">
        <v>-1.2741582599497068</v>
      </c>
      <c r="Z10" s="68">
        <v>-1.1183426521790116</v>
      </c>
      <c r="AA10" s="69">
        <v>-1.0557703137725243</v>
      </c>
      <c r="AB10" s="70">
        <v>-1.0870408602371626</v>
      </c>
    </row>
    <row r="11" spans="1:28" x14ac:dyDescent="0.25">
      <c r="A11" s="20">
        <v>10</v>
      </c>
      <c r="B11" s="68">
        <v>-1.0393562968308907</v>
      </c>
      <c r="C11" s="69">
        <v>-0.97867737240738273</v>
      </c>
      <c r="D11" s="70">
        <v>-1.0090525505490437</v>
      </c>
      <c r="E11" s="68">
        <v>-0.94784307566733739</v>
      </c>
      <c r="F11" s="69">
        <v>-0.87426674682746675</v>
      </c>
      <c r="G11" s="70">
        <v>-0.9109759656016303</v>
      </c>
      <c r="H11" s="68">
        <v>-1.0472539080439389</v>
      </c>
      <c r="I11" s="69">
        <v>-0.96210277111891918</v>
      </c>
      <c r="J11" s="70">
        <v>-1.0043334640576214</v>
      </c>
      <c r="K11" s="68">
        <v>-1.0968312103313975</v>
      </c>
      <c r="L11" s="69">
        <v>-1.0329081865332934</v>
      </c>
      <c r="M11" s="70">
        <v>-1.0648450322432061</v>
      </c>
      <c r="N11" s="68">
        <v>-0.98369901448796815</v>
      </c>
      <c r="O11" s="69">
        <v>-0.93040263712809212</v>
      </c>
      <c r="P11" s="70">
        <v>-0.95717334253081887</v>
      </c>
      <c r="Q11" s="68">
        <v>-1.0710479766829692</v>
      </c>
      <c r="R11" s="69">
        <v>-0.96012756983373815</v>
      </c>
      <c r="S11" s="70">
        <v>-1.0145804306666857</v>
      </c>
      <c r="T11" s="68">
        <v>-0.91071238550681488</v>
      </c>
      <c r="U11" s="69">
        <v>-0.86341317190230826</v>
      </c>
      <c r="V11" s="70">
        <v>-0.88724264033592859</v>
      </c>
      <c r="W11" s="68">
        <v>-1.2967451336857732</v>
      </c>
      <c r="X11" s="69">
        <v>-1.1678086462282879</v>
      </c>
      <c r="Y11" s="70">
        <v>-1.2303496154337019</v>
      </c>
      <c r="Z11" s="68">
        <v>-1.0743948523980273</v>
      </c>
      <c r="AA11" s="69">
        <v>-1.0059690881890577</v>
      </c>
      <c r="AB11" s="70">
        <v>-1.0401061476730076</v>
      </c>
    </row>
    <row r="12" spans="1:28" x14ac:dyDescent="0.25">
      <c r="A12" s="20">
        <v>15</v>
      </c>
      <c r="B12" s="68">
        <v>-0.99810318323243907</v>
      </c>
      <c r="C12" s="69">
        <v>-0.93456378789298888</v>
      </c>
      <c r="D12" s="70">
        <v>-0.96635456814626275</v>
      </c>
      <c r="E12" s="68">
        <v>-0.92724294571284704</v>
      </c>
      <c r="F12" s="69">
        <v>-0.85272014880258951</v>
      </c>
      <c r="G12" s="70">
        <v>-0.88990310948808893</v>
      </c>
      <c r="H12" s="68">
        <v>-1.0232404683298353</v>
      </c>
      <c r="I12" s="69">
        <v>-0.93688771389348002</v>
      </c>
      <c r="J12" s="70">
        <v>-0.97971406825728613</v>
      </c>
      <c r="K12" s="68">
        <v>-1.0631132391187417</v>
      </c>
      <c r="L12" s="69">
        <v>-0.99562585121052949</v>
      </c>
      <c r="M12" s="70">
        <v>-1.0293119689456429</v>
      </c>
      <c r="N12" s="68">
        <v>-0.95845256110003996</v>
      </c>
      <c r="O12" s="69">
        <v>-0.90544375058891757</v>
      </c>
      <c r="P12" s="70">
        <v>-0.93208088942572564</v>
      </c>
      <c r="Q12" s="68">
        <v>-1.0502865418043261</v>
      </c>
      <c r="R12" s="69">
        <v>-0.93957838384724868</v>
      </c>
      <c r="S12" s="70">
        <v>-0.99395789712628757</v>
      </c>
      <c r="T12" s="68">
        <v>-0.89415623808717182</v>
      </c>
      <c r="U12" s="69">
        <v>-0.84720717813866564</v>
      </c>
      <c r="V12" s="70">
        <v>-0.87086768371809842</v>
      </c>
      <c r="W12" s="68">
        <v>-1.2584276949461242</v>
      </c>
      <c r="X12" s="69">
        <v>-1.1373286585570146</v>
      </c>
      <c r="Y12" s="70">
        <v>-1.1963047021648439</v>
      </c>
      <c r="Z12" s="68">
        <v>-1.046640904616448</v>
      </c>
      <c r="AA12" s="69">
        <v>-0.9778828398588445</v>
      </c>
      <c r="AB12" s="70">
        <v>-1.0121945536850772</v>
      </c>
    </row>
    <row r="13" spans="1:28" x14ac:dyDescent="0.25">
      <c r="A13" s="20">
        <v>20</v>
      </c>
      <c r="B13" s="71">
        <v>-0.9416333856114224</v>
      </c>
      <c r="C13" s="72">
        <v>-0.88577608039760869</v>
      </c>
      <c r="D13" s="73">
        <v>-0.91382222014342573</v>
      </c>
      <c r="E13" s="71">
        <v>-0.89806980739238718</v>
      </c>
      <c r="F13" s="72">
        <v>-0.82207221968309652</v>
      </c>
      <c r="G13" s="73">
        <v>-0.85999289910331278</v>
      </c>
      <c r="H13" s="71">
        <v>-0.98210627496614655</v>
      </c>
      <c r="I13" s="72">
        <v>-0.90144694160929184</v>
      </c>
      <c r="J13" s="73">
        <v>-0.94156371692343144</v>
      </c>
      <c r="K13" s="71">
        <v>-1.0130422551600544</v>
      </c>
      <c r="L13" s="72">
        <v>-0.94491044364009291</v>
      </c>
      <c r="M13" s="73">
        <v>-0.97893414503700538</v>
      </c>
      <c r="N13" s="71">
        <v>-0.92315126707712025</v>
      </c>
      <c r="O13" s="72">
        <v>-0.87353503704912039</v>
      </c>
      <c r="P13" s="73">
        <v>-0.89850801280079284</v>
      </c>
      <c r="Q13" s="71">
        <v>-1.0150860472583132</v>
      </c>
      <c r="R13" s="72">
        <v>-0.90716031396523533</v>
      </c>
      <c r="S13" s="73">
        <v>-0.96027265708124088</v>
      </c>
      <c r="T13" s="71">
        <v>-0.87450042882312029</v>
      </c>
      <c r="U13" s="72">
        <v>-0.82539225007655914</v>
      </c>
      <c r="V13" s="73">
        <v>-0.85012871104987098</v>
      </c>
      <c r="W13" s="71">
        <v>-1.2020971767372759</v>
      </c>
      <c r="X13" s="72">
        <v>-1.0804886999840153</v>
      </c>
      <c r="Y13" s="73">
        <v>-1.1397670872678705</v>
      </c>
      <c r="Z13" s="71">
        <v>-1.0066773582389617</v>
      </c>
      <c r="AA13" s="72">
        <v>-0.93810586936643969</v>
      </c>
      <c r="AB13" s="73">
        <v>-0.97234684182353814</v>
      </c>
    </row>
  </sheetData>
  <sheetProtection sheet="1" objects="1" scenarios="1"/>
  <mergeCells count="9">
    <mergeCell ref="B3:D3"/>
    <mergeCell ref="E3:G3"/>
    <mergeCell ref="H3:J3"/>
    <mergeCell ref="K3:M3"/>
    <mergeCell ref="Z3:AB3"/>
    <mergeCell ref="W3:Y3"/>
    <mergeCell ref="T3:V3"/>
    <mergeCell ref="Q3:S3"/>
    <mergeCell ref="N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6D98-51FB-443F-B4D4-43A2342829EC}">
  <sheetPr>
    <tabColor rgb="FF00B050"/>
    <outlinePr summaryBelow="0" summaryRight="0"/>
  </sheetPr>
  <dimension ref="B2:AB51"/>
  <sheetViews>
    <sheetView showGridLines="0" tabSelected="1" topLeftCell="H5" zoomScale="55" zoomScaleNormal="55" workbookViewId="0">
      <selection activeCell="AD49" sqref="AD49"/>
    </sheetView>
  </sheetViews>
  <sheetFormatPr baseColWidth="10" defaultColWidth="14.44140625" defaultRowHeight="15" customHeight="1" x14ac:dyDescent="0.3"/>
  <cols>
    <col min="1" max="1" width="6.77734375" customWidth="1"/>
    <col min="18" max="18" width="17.44140625" customWidth="1"/>
    <col min="21" max="21" width="3.33203125" customWidth="1"/>
    <col min="22" max="23" width="16.44140625" hidden="1" customWidth="1"/>
  </cols>
  <sheetData>
    <row r="2" spans="2:23" ht="15" customHeight="1" x14ac:dyDescent="0.3">
      <c r="B2" s="170" t="s">
        <v>114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</row>
    <row r="3" spans="2:23" ht="33" customHeight="1" x14ac:dyDescent="0.3">
      <c r="B3" s="113" t="s">
        <v>110</v>
      </c>
      <c r="C3" s="112" t="s">
        <v>109</v>
      </c>
      <c r="D3" s="112" t="s">
        <v>108</v>
      </c>
      <c r="E3" s="112" t="s">
        <v>107</v>
      </c>
      <c r="F3" s="111"/>
      <c r="G3" s="110"/>
      <c r="H3" s="110"/>
      <c r="I3" s="110" t="s">
        <v>106</v>
      </c>
      <c r="J3" s="110"/>
      <c r="K3" s="109" t="s">
        <v>105</v>
      </c>
      <c r="L3" s="110"/>
      <c r="M3" s="110" t="s">
        <v>104</v>
      </c>
      <c r="N3" s="110"/>
      <c r="O3" s="110" t="s">
        <v>103</v>
      </c>
      <c r="P3" s="110"/>
      <c r="Q3" s="110" t="s">
        <v>102</v>
      </c>
      <c r="R3" s="110" t="s">
        <v>101</v>
      </c>
      <c r="S3" s="109" t="s">
        <v>100</v>
      </c>
      <c r="T3" s="108" t="s">
        <v>99</v>
      </c>
    </row>
    <row r="4" spans="2:23" ht="15" customHeight="1" x14ac:dyDescent="0.3">
      <c r="B4" s="102">
        <v>0</v>
      </c>
      <c r="C4" s="101">
        <v>1</v>
      </c>
      <c r="D4" s="115">
        <f>def_sl!D21</f>
        <v>251.24329945431299</v>
      </c>
      <c r="E4" s="115">
        <f>def_pro_homicidios_sl!D425</f>
        <v>1.00434782608696</v>
      </c>
      <c r="F4" s="96">
        <f t="shared" ref="F4:F22" si="0">(D4-E4)/D4</f>
        <v>0.99600248910809419</v>
      </c>
      <c r="G4" s="117">
        <f>lt_sl!G21</f>
        <v>100000</v>
      </c>
      <c r="H4" s="119">
        <f>1-lt_sl!E21</f>
        <v>0.99818700000000005</v>
      </c>
      <c r="I4" s="100">
        <f t="shared" ref="I4:I22" si="1">1-H4</f>
        <v>1.8129999999999535E-3</v>
      </c>
      <c r="J4" s="120" t="str">
        <f>lt_sl!F21</f>
        <v>0.05</v>
      </c>
      <c r="K4" s="132">
        <f>lt_sl!K21</f>
        <v>75.44</v>
      </c>
      <c r="L4" s="100">
        <f>H4^F4</f>
        <v>0.998194240939689</v>
      </c>
      <c r="M4" s="99">
        <f t="shared" ref="M4:M22" si="2">1-L4</f>
        <v>1.8057590603109963E-3</v>
      </c>
      <c r="N4" s="97">
        <v>100000</v>
      </c>
      <c r="O4" s="98">
        <f t="shared" ref="O4:O22" si="3">N4*M4</f>
        <v>180.57590603109963</v>
      </c>
      <c r="P4" s="98">
        <f>C4+(F4*(I4/M4)*(J4-C4))</f>
        <v>5.000344463461448E-2</v>
      </c>
      <c r="Q4" s="97">
        <f>(C4*N5)+(P4*O4)</f>
        <v>99828.453511288477</v>
      </c>
      <c r="R4" s="97">
        <f>R5+Q4</f>
        <v>7647882.149608491</v>
      </c>
      <c r="S4" s="133">
        <f t="shared" ref="S4:S22" si="4">R4/N4</f>
        <v>76.478821496084905</v>
      </c>
      <c r="T4" s="95">
        <f t="shared" ref="T4:T22" si="5">S4-K4</f>
        <v>1.0388214960849069</v>
      </c>
    </row>
    <row r="5" spans="2:23" ht="15" customHeight="1" x14ac:dyDescent="0.3">
      <c r="B5" s="102">
        <v>1</v>
      </c>
      <c r="C5" s="101">
        <v>4</v>
      </c>
      <c r="D5" s="115">
        <f>def_sl!D22</f>
        <v>57.010521992592999</v>
      </c>
      <c r="E5" s="115">
        <f>def_pro_homicidios_sl!D426</f>
        <v>0</v>
      </c>
      <c r="F5" s="96">
        <f t="shared" si="0"/>
        <v>1</v>
      </c>
      <c r="G5" s="117">
        <f>lt_sl!G22</f>
        <v>99819</v>
      </c>
      <c r="H5" s="119">
        <f>1-lt_sl!E22</f>
        <v>0.997618</v>
      </c>
      <c r="I5" s="100">
        <f t="shared" si="1"/>
        <v>2.3819999999999952E-3</v>
      </c>
      <c r="J5" s="120" t="str">
        <f>lt_sl!F22</f>
        <v>1.65</v>
      </c>
      <c r="K5" s="122">
        <f>lt_sl!K22</f>
        <v>74.58</v>
      </c>
      <c r="L5" s="100">
        <f>H5^F5</f>
        <v>0.997618</v>
      </c>
      <c r="M5" s="99">
        <f t="shared" si="2"/>
        <v>2.3819999999999952E-3</v>
      </c>
      <c r="N5" s="97">
        <f t="shared" ref="N5:N22" si="6">N4*L4</f>
        <v>99819.424093968904</v>
      </c>
      <c r="O5" s="98">
        <f t="shared" si="3"/>
        <v>237.76986819183347</v>
      </c>
      <c r="P5" s="98">
        <f>C5+(F5*(I5/M5)*(J5-C5))</f>
        <v>1.65</v>
      </c>
      <c r="Q5" s="97">
        <f t="shared" ref="Q4:Q20" si="7">(C5*N6)+(P5*O5)</f>
        <v>398718.93718562485</v>
      </c>
      <c r="R5" s="97">
        <f t="shared" ref="R4:R21" si="8">R6+Q5</f>
        <v>7548053.6960972026</v>
      </c>
      <c r="S5" s="96">
        <f t="shared" si="4"/>
        <v>75.617083194063994</v>
      </c>
      <c r="T5" s="95">
        <f t="shared" si="5"/>
        <v>1.037083194063996</v>
      </c>
      <c r="V5" s="163" t="s">
        <v>111</v>
      </c>
      <c r="W5" s="164"/>
    </row>
    <row r="6" spans="2:23" ht="15" customHeight="1" x14ac:dyDescent="0.3">
      <c r="B6" s="102">
        <v>5</v>
      </c>
      <c r="C6" s="101">
        <v>5</v>
      </c>
      <c r="D6" s="115">
        <f>def_sl!D23</f>
        <v>32.005723302431001</v>
      </c>
      <c r="E6" s="115">
        <v>0</v>
      </c>
      <c r="F6" s="96">
        <f t="shared" si="0"/>
        <v>1</v>
      </c>
      <c r="G6" s="117">
        <f>lt_sl!G23</f>
        <v>99581</v>
      </c>
      <c r="H6" s="119">
        <f>1-lt_sl!E23</f>
        <v>0.99870899999999996</v>
      </c>
      <c r="I6" s="100">
        <f t="shared" si="1"/>
        <v>1.2910000000000421E-3</v>
      </c>
      <c r="J6" s="120" t="str">
        <f>lt_sl!F23</f>
        <v>2.5</v>
      </c>
      <c r="K6" s="122">
        <f>lt_sl!K23</f>
        <v>70.75</v>
      </c>
      <c r="L6" s="100">
        <f t="shared" ref="L6:L22" si="9">H6^F6</f>
        <v>0.99870899999999996</v>
      </c>
      <c r="M6" s="99">
        <f t="shared" si="2"/>
        <v>1.2910000000000421E-3</v>
      </c>
      <c r="N6" s="97">
        <f t="shared" si="6"/>
        <v>99581.654225777078</v>
      </c>
      <c r="O6" s="98">
        <f t="shared" si="3"/>
        <v>128.55991560548239</v>
      </c>
      <c r="P6" s="98">
        <f>C6+(F6*(I6/M6)*(J6-C6))</f>
        <v>2.5</v>
      </c>
      <c r="Q6" s="97">
        <f t="shared" si="7"/>
        <v>497586.87133987172</v>
      </c>
      <c r="R6" s="97">
        <f t="shared" si="8"/>
        <v>7149334.758911578</v>
      </c>
      <c r="S6" s="96">
        <f t="shared" si="4"/>
        <v>71.793693471914096</v>
      </c>
      <c r="T6" s="95">
        <f t="shared" si="5"/>
        <v>1.0436934719140964</v>
      </c>
      <c r="V6" s="165"/>
      <c r="W6" s="166"/>
    </row>
    <row r="7" spans="2:23" ht="15" customHeight="1" x14ac:dyDescent="0.3">
      <c r="B7" s="102">
        <v>10</v>
      </c>
      <c r="C7" s="101">
        <v>5</v>
      </c>
      <c r="D7" s="115">
        <f>def_sl!D24</f>
        <v>42.008166554716396</v>
      </c>
      <c r="E7" s="115">
        <f>def_pro_homicidios_sl!D427</f>
        <v>3.0130434782608702</v>
      </c>
      <c r="F7" s="96">
        <f t="shared" si="0"/>
        <v>0.92827481593760286</v>
      </c>
      <c r="G7" s="117">
        <f>lt_sl!G24</f>
        <v>99452</v>
      </c>
      <c r="H7" s="119">
        <f>1-lt_sl!E24</f>
        <v>0.99837100000000001</v>
      </c>
      <c r="I7" s="100">
        <f t="shared" si="1"/>
        <v>1.6289999999999916E-3</v>
      </c>
      <c r="J7" s="120" t="str">
        <f>lt_sl!F24</f>
        <v>2.5</v>
      </c>
      <c r="K7" s="122">
        <f>lt_sl!K24</f>
        <v>65.84</v>
      </c>
      <c r="L7" s="100">
        <f t="shared" si="9"/>
        <v>0.99848775193277084</v>
      </c>
      <c r="M7" s="99">
        <f t="shared" si="2"/>
        <v>1.5122480672291605E-3</v>
      </c>
      <c r="N7" s="97">
        <f t="shared" si="6"/>
        <v>99453.094310171597</v>
      </c>
      <c r="O7" s="98">
        <f t="shared" si="3"/>
        <v>150.3977496505164</v>
      </c>
      <c r="P7" s="100">
        <f t="shared" ref="P7:P20" si="10">(((-5/24)*O6)+((2.5)*O7)+((5/24)*O8))/O7</f>
        <v>2.9511348531018431</v>
      </c>
      <c r="Q7" s="97">
        <f t="shared" si="7"/>
        <v>496957.32684342714</v>
      </c>
      <c r="R7" s="97">
        <f t="shared" si="8"/>
        <v>6651747.8875717064</v>
      </c>
      <c r="S7" s="96">
        <f t="shared" si="4"/>
        <v>66.883267269959617</v>
      </c>
      <c r="T7" s="95">
        <f t="shared" si="5"/>
        <v>1.0432672699596139</v>
      </c>
      <c r="V7" s="167"/>
      <c r="W7" s="168"/>
    </row>
    <row r="8" spans="2:23" ht="15" customHeight="1" x14ac:dyDescent="0.3">
      <c r="B8" s="102">
        <v>15</v>
      </c>
      <c r="C8" s="101">
        <v>5</v>
      </c>
      <c r="D8" s="115">
        <f>def_sl!D25</f>
        <v>165.02948101814701</v>
      </c>
      <c r="E8" s="115">
        <f>def_pro_homicidios_sl!D428</f>
        <v>47.204347826087002</v>
      </c>
      <c r="F8" s="96">
        <f t="shared" si="0"/>
        <v>0.71396415031508031</v>
      </c>
      <c r="G8" s="117">
        <f>lt_sl!G25</f>
        <v>99290</v>
      </c>
      <c r="H8" s="119">
        <f>1-lt_sl!E25</f>
        <v>0.99359900000000001</v>
      </c>
      <c r="I8" s="100">
        <f t="shared" si="1"/>
        <v>6.40099999999999E-3</v>
      </c>
      <c r="J8" s="120" t="str">
        <f>lt_sl!F25</f>
        <v>2.5</v>
      </c>
      <c r="K8" s="122">
        <f>lt_sl!K25</f>
        <v>60.94</v>
      </c>
      <c r="L8" s="100">
        <f t="shared" si="9"/>
        <v>0.9954257202324136</v>
      </c>
      <c r="M8" s="99">
        <f t="shared" si="2"/>
        <v>4.5742797675863978E-3</v>
      </c>
      <c r="N8" s="97">
        <f t="shared" si="6"/>
        <v>99302.696560521086</v>
      </c>
      <c r="O8" s="98">
        <f t="shared" si="3"/>
        <v>454.23831574356296</v>
      </c>
      <c r="P8" s="100">
        <f t="shared" si="10"/>
        <v>2.7906922042861333</v>
      </c>
      <c r="Q8" s="97">
        <f t="shared" si="7"/>
        <v>495509.93055052124</v>
      </c>
      <c r="R8" s="97">
        <f t="shared" si="8"/>
        <v>6154790.5607282789</v>
      </c>
      <c r="S8" s="96">
        <f t="shared" si="4"/>
        <v>61.980094941099374</v>
      </c>
      <c r="T8" s="95">
        <f t="shared" si="5"/>
        <v>1.0400949410993761</v>
      </c>
      <c r="V8" s="106" t="s">
        <v>97</v>
      </c>
      <c r="W8" s="106" t="s">
        <v>96</v>
      </c>
    </row>
    <row r="9" spans="2:23" ht="15" customHeight="1" x14ac:dyDescent="0.3">
      <c r="B9" s="102">
        <v>20</v>
      </c>
      <c r="C9" s="101">
        <v>5</v>
      </c>
      <c r="D9" s="115">
        <f>def_sl!D26</f>
        <v>246.04596204826501</v>
      </c>
      <c r="E9" s="115">
        <f>def_pro_homicidios_sl!D429</f>
        <v>66.2869565217391</v>
      </c>
      <c r="F9" s="96">
        <f t="shared" si="0"/>
        <v>0.73059116284649261</v>
      </c>
      <c r="G9" s="117">
        <f>lt_sl!G26</f>
        <v>98655</v>
      </c>
      <c r="H9" s="119">
        <f>1-lt_sl!E26</f>
        <v>0.98915699999999995</v>
      </c>
      <c r="I9" s="100">
        <f t="shared" si="1"/>
        <v>1.0843000000000047E-2</v>
      </c>
      <c r="J9" s="120" t="str">
        <f>lt_sl!F26</f>
        <v>2.5</v>
      </c>
      <c r="K9" s="122">
        <f>lt_sl!K26</f>
        <v>56.32</v>
      </c>
      <c r="L9" s="100">
        <f t="shared" si="9"/>
        <v>0.99206657602461301</v>
      </c>
      <c r="M9" s="99">
        <f t="shared" si="2"/>
        <v>7.9334239753869884E-3</v>
      </c>
      <c r="N9" s="97">
        <f t="shared" si="6"/>
        <v>98848.458244777517</v>
      </c>
      <c r="O9" s="98">
        <f t="shared" si="3"/>
        <v>784.20672856915758</v>
      </c>
      <c r="P9" s="100">
        <f t="shared" si="10"/>
        <v>2.6144178049480735</v>
      </c>
      <c r="Q9" s="97">
        <f t="shared" si="7"/>
        <v>492371.50161497307</v>
      </c>
      <c r="R9" s="97">
        <f t="shared" si="8"/>
        <v>5659280.6301777577</v>
      </c>
      <c r="S9" s="96">
        <f t="shared" si="4"/>
        <v>57.252088000844019</v>
      </c>
      <c r="T9" s="95">
        <f t="shared" si="5"/>
        <v>0.93208800084401844</v>
      </c>
      <c r="V9" s="103">
        <f>([1]TV!M53-[1]TV!M71)/[1]TV!J53</f>
        <v>66.401396448949356</v>
      </c>
      <c r="W9" s="103">
        <f>(R4-R22)/N4</f>
        <v>73.827835649488293</v>
      </c>
    </row>
    <row r="10" spans="2:23" ht="15" customHeight="1" x14ac:dyDescent="0.3">
      <c r="B10" s="102">
        <v>25</v>
      </c>
      <c r="C10" s="101">
        <v>5</v>
      </c>
      <c r="D10" s="115">
        <f>def_sl!D27</f>
        <v>269.049589591683</v>
      </c>
      <c r="E10" s="115">
        <f>def_pro_homicidios_sl!D430</f>
        <v>79.343478260869603</v>
      </c>
      <c r="F10" s="96">
        <f t="shared" si="0"/>
        <v>0.70509719646373215</v>
      </c>
      <c r="G10" s="117">
        <f>lt_sl!G27</f>
        <v>97585</v>
      </c>
      <c r="H10" s="119">
        <f>1-lt_sl!E27</f>
        <v>0.98722600000000005</v>
      </c>
      <c r="I10" s="100">
        <f t="shared" si="1"/>
        <v>1.2773999999999952E-2</v>
      </c>
      <c r="J10" s="120" t="str">
        <f>lt_sl!F27</f>
        <v>2.5</v>
      </c>
      <c r="K10" s="122">
        <f>lt_sl!K27</f>
        <v>51.91</v>
      </c>
      <c r="L10" s="100">
        <f t="shared" si="9"/>
        <v>0.99097602926549044</v>
      </c>
      <c r="M10" s="99">
        <f t="shared" si="2"/>
        <v>9.0239707345095566E-3</v>
      </c>
      <c r="N10" s="97">
        <f t="shared" si="6"/>
        <v>98064.251516208358</v>
      </c>
      <c r="O10" s="98">
        <f t="shared" si="3"/>
        <v>884.9289357838486</v>
      </c>
      <c r="P10" s="100">
        <f t="shared" si="10"/>
        <v>2.5207477624971406</v>
      </c>
      <c r="Q10" s="97">
        <f t="shared" si="7"/>
        <v>488127.29553696868</v>
      </c>
      <c r="R10" s="97">
        <f t="shared" si="8"/>
        <v>5166909.1285627848</v>
      </c>
      <c r="S10" s="96">
        <f t="shared" si="4"/>
        <v>52.68901815570154</v>
      </c>
      <c r="T10" s="95">
        <f t="shared" si="5"/>
        <v>0.77901815570154298</v>
      </c>
      <c r="V10" s="104" t="s">
        <v>95</v>
      </c>
      <c r="W10" s="103">
        <f>W9-V9</f>
        <v>7.4264392005389368</v>
      </c>
    </row>
    <row r="11" spans="2:23" ht="15" customHeight="1" x14ac:dyDescent="0.3">
      <c r="B11" s="102">
        <v>30</v>
      </c>
      <c r="C11" s="101">
        <v>5</v>
      </c>
      <c r="D11" s="115">
        <f>def_sl!D28</f>
        <v>235.044441063243</v>
      </c>
      <c r="E11" s="115">
        <f>def_pro_homicidios_sl!D431</f>
        <v>62.269565217391303</v>
      </c>
      <c r="F11" s="96">
        <f t="shared" si="0"/>
        <v>0.73507322727689373</v>
      </c>
      <c r="G11" s="117">
        <f>lt_sl!G28</f>
        <v>96339</v>
      </c>
      <c r="H11" s="119">
        <f>1-lt_sl!E28</f>
        <v>0.98780800000000002</v>
      </c>
      <c r="I11" s="100">
        <f t="shared" si="1"/>
        <v>1.2191999999999981E-2</v>
      </c>
      <c r="J11" s="120" t="str">
        <f>lt_sl!F28</f>
        <v>2.5</v>
      </c>
      <c r="K11" s="122">
        <f>lt_sl!K28</f>
        <v>47.55</v>
      </c>
      <c r="L11" s="100">
        <f t="shared" si="9"/>
        <v>0.99102343869805865</v>
      </c>
      <c r="M11" s="99">
        <f t="shared" si="2"/>
        <v>8.9765613019413548E-3</v>
      </c>
      <c r="N11" s="97">
        <f t="shared" si="6"/>
        <v>97179.322580424516</v>
      </c>
      <c r="O11" s="98">
        <f t="shared" si="3"/>
        <v>872.33614642431439</v>
      </c>
      <c r="P11" s="100">
        <f t="shared" si="10"/>
        <v>2.549153349891383</v>
      </c>
      <c r="Q11" s="97">
        <f t="shared" si="7"/>
        <v>483758.65077988984</v>
      </c>
      <c r="R11" s="97">
        <f t="shared" si="8"/>
        <v>4678781.8330258159</v>
      </c>
      <c r="S11" s="96">
        <f t="shared" si="4"/>
        <v>48.145857665901183</v>
      </c>
      <c r="T11" s="95">
        <f t="shared" si="5"/>
        <v>0.59585766590118538</v>
      </c>
    </row>
    <row r="12" spans="2:23" ht="15" customHeight="1" x14ac:dyDescent="0.3">
      <c r="B12" s="102">
        <v>35</v>
      </c>
      <c r="C12" s="101">
        <v>5</v>
      </c>
      <c r="D12" s="115">
        <f>def_sl!D29</f>
        <v>257.54888686044097</v>
      </c>
      <c r="E12" s="115">
        <f>def_pro_homicidios_sl!D432</f>
        <v>52.226086956521698</v>
      </c>
      <c r="F12" s="96">
        <f t="shared" si="0"/>
        <v>0.79721874323292397</v>
      </c>
      <c r="G12" s="117">
        <f>lt_sl!G29</f>
        <v>95164</v>
      </c>
      <c r="H12" s="119">
        <f>1-lt_sl!E29</f>
        <v>0.98581399999999997</v>
      </c>
      <c r="I12" s="100">
        <f t="shared" si="1"/>
        <v>1.4186000000000032E-2</v>
      </c>
      <c r="J12" s="120" t="str">
        <f>lt_sl!F29</f>
        <v>2.5</v>
      </c>
      <c r="K12" s="122">
        <f>lt_sl!K29</f>
        <v>43.11</v>
      </c>
      <c r="L12" s="100">
        <f t="shared" si="9"/>
        <v>0.9886742951207782</v>
      </c>
      <c r="M12" s="99">
        <f t="shared" si="2"/>
        <v>1.1325704879221798E-2</v>
      </c>
      <c r="N12" s="97">
        <f t="shared" si="6"/>
        <v>96306.986434000195</v>
      </c>
      <c r="O12" s="98">
        <f t="shared" si="3"/>
        <v>1090.7445061587036</v>
      </c>
      <c r="P12" s="100">
        <f t="shared" si="10"/>
        <v>2.6289768329401282</v>
      </c>
      <c r="Q12" s="97">
        <f t="shared" si="7"/>
        <v>478948.75167655543</v>
      </c>
      <c r="R12" s="97">
        <f t="shared" si="8"/>
        <v>4195023.182245926</v>
      </c>
      <c r="S12" s="96">
        <f t="shared" si="4"/>
        <v>43.558866678076392</v>
      </c>
      <c r="T12" s="95">
        <f t="shared" si="5"/>
        <v>0.44886667807639213</v>
      </c>
    </row>
    <row r="13" spans="2:23" ht="15" customHeight="1" x14ac:dyDescent="0.3">
      <c r="B13" s="102">
        <v>40</v>
      </c>
      <c r="C13" s="101">
        <v>5</v>
      </c>
      <c r="D13" s="115">
        <f>def_sl!D30</f>
        <v>316.56042127971301</v>
      </c>
      <c r="E13" s="115">
        <f>def_pro_homicidios_sl!D433</f>
        <v>40.173913043478301</v>
      </c>
      <c r="F13" s="96">
        <f t="shared" si="0"/>
        <v>0.87309243246179347</v>
      </c>
      <c r="G13" s="117">
        <f>lt_sl!G30</f>
        <v>93814</v>
      </c>
      <c r="H13" s="119">
        <f>1-lt_sl!E30</f>
        <v>0.981406</v>
      </c>
      <c r="I13" s="100">
        <f t="shared" si="1"/>
        <v>1.8593999999999999E-2</v>
      </c>
      <c r="J13" s="120" t="str">
        <f>lt_sl!F30</f>
        <v>2.5</v>
      </c>
      <c r="K13" s="122">
        <f>lt_sl!K30</f>
        <v>38.69</v>
      </c>
      <c r="L13" s="100">
        <f t="shared" si="9"/>
        <v>0.98374643001597484</v>
      </c>
      <c r="M13" s="99">
        <f t="shared" si="2"/>
        <v>1.6253569984025162E-2</v>
      </c>
      <c r="N13" s="97">
        <f t="shared" si="6"/>
        <v>95216.241927841489</v>
      </c>
      <c r="O13" s="98">
        <f t="shared" si="3"/>
        <v>1547.6038517900427</v>
      </c>
      <c r="P13" s="100">
        <f t="shared" si="10"/>
        <v>2.6324056223052508</v>
      </c>
      <c r="Q13" s="97">
        <f t="shared" si="7"/>
        <v>472417.11146081059</v>
      </c>
      <c r="R13" s="97">
        <f t="shared" si="8"/>
        <v>3716074.4305693703</v>
      </c>
      <c r="S13" s="96">
        <f t="shared" si="4"/>
        <v>39.027736816010375</v>
      </c>
      <c r="T13" s="95">
        <f t="shared" si="5"/>
        <v>0.33773681601037708</v>
      </c>
    </row>
    <row r="14" spans="2:23" ht="15" customHeight="1" x14ac:dyDescent="0.3">
      <c r="B14" s="102">
        <v>45</v>
      </c>
      <c r="C14" s="101">
        <v>5</v>
      </c>
      <c r="D14" s="115">
        <f>def_sl!D31</f>
        <v>385.57352599090098</v>
      </c>
      <c r="E14" s="115">
        <f>def_pro_homicidios_sl!D434</f>
        <v>31.134782608695701</v>
      </c>
      <c r="F14" s="96">
        <f t="shared" si="0"/>
        <v>0.91925072519260465</v>
      </c>
      <c r="G14" s="117">
        <f>lt_sl!G31</f>
        <v>92070</v>
      </c>
      <c r="H14" s="119">
        <f>1-lt_sl!E31</f>
        <v>0.97593300000000005</v>
      </c>
      <c r="I14" s="100">
        <f t="shared" si="1"/>
        <v>2.406699999999995E-2</v>
      </c>
      <c r="J14" s="120" t="str">
        <f>lt_sl!F31</f>
        <v>2.5</v>
      </c>
      <c r="K14" s="122">
        <f>lt_sl!K31</f>
        <v>34.380000000000003</v>
      </c>
      <c r="L14" s="100">
        <f t="shared" si="9"/>
        <v>0.97785470661321894</v>
      </c>
      <c r="M14" s="99">
        <f t="shared" si="2"/>
        <v>2.2145293386781062E-2</v>
      </c>
      <c r="N14" s="97">
        <f t="shared" si="6"/>
        <v>93668.638076051444</v>
      </c>
      <c r="O14" s="98">
        <f t="shared" si="3"/>
        <v>2074.319471334371</v>
      </c>
      <c r="P14" s="100">
        <f t="shared" si="10"/>
        <v>2.6442296574440447</v>
      </c>
      <c r="Q14" s="97">
        <f t="shared" si="7"/>
        <v>463456.57008870138</v>
      </c>
      <c r="R14" s="97">
        <f t="shared" si="8"/>
        <v>3243657.3191085598</v>
      </c>
      <c r="S14" s="96">
        <f t="shared" si="4"/>
        <v>34.629064601910507</v>
      </c>
      <c r="T14" s="95">
        <f t="shared" si="5"/>
        <v>0.24906460191050428</v>
      </c>
    </row>
    <row r="15" spans="2:23" ht="15" customHeight="1" x14ac:dyDescent="0.3">
      <c r="B15" s="102">
        <v>50</v>
      </c>
      <c r="C15" s="101">
        <v>5</v>
      </c>
      <c r="D15" s="115">
        <f>def_sl!D32</f>
        <v>502.596167976137</v>
      </c>
      <c r="E15" s="115">
        <f>def_pro_homicidios_sl!D435</f>
        <v>33.1434782608696</v>
      </c>
      <c r="F15" s="96">
        <f t="shared" si="0"/>
        <v>0.93405544973744559</v>
      </c>
      <c r="G15" s="117">
        <f>lt_sl!G32</f>
        <v>89854</v>
      </c>
      <c r="H15" s="119">
        <f>1-lt_sl!E32</f>
        <v>0.96516599999999997</v>
      </c>
      <c r="I15" s="100">
        <f t="shared" si="1"/>
        <v>3.4834000000000032E-2</v>
      </c>
      <c r="J15" s="120" t="str">
        <f>lt_sl!F32</f>
        <v>2.5</v>
      </c>
      <c r="K15" s="122">
        <f>lt_sl!K32</f>
        <v>30.16</v>
      </c>
      <c r="L15" s="100">
        <f t="shared" si="9"/>
        <v>0.96742527097984532</v>
      </c>
      <c r="M15" s="99">
        <f t="shared" si="2"/>
        <v>3.257472902015468E-2</v>
      </c>
      <c r="N15" s="97">
        <f t="shared" si="6"/>
        <v>91594.318604717075</v>
      </c>
      <c r="O15" s="98">
        <f t="shared" si="3"/>
        <v>2983.6601083343712</v>
      </c>
      <c r="P15" s="100">
        <f t="shared" si="10"/>
        <v>2.6509414879405839</v>
      </c>
      <c r="Q15" s="97">
        <f t="shared" si="7"/>
        <v>450962.80084901041</v>
      </c>
      <c r="R15" s="97">
        <f t="shared" si="8"/>
        <v>2780200.7490198584</v>
      </c>
      <c r="S15" s="96">
        <f t="shared" si="4"/>
        <v>30.353419200791773</v>
      </c>
      <c r="T15" s="95">
        <f t="shared" si="5"/>
        <v>0.19341920079177299</v>
      </c>
    </row>
    <row r="16" spans="2:23" ht="15" customHeight="1" x14ac:dyDescent="0.3">
      <c r="B16" s="102">
        <v>55</v>
      </c>
      <c r="C16" s="101">
        <v>5</v>
      </c>
      <c r="D16" s="115">
        <f>def_sl!D33</f>
        <v>583.11108645903403</v>
      </c>
      <c r="E16" s="115">
        <f>def_pro_homicidios_sl!D436</f>
        <v>16.0695652173913</v>
      </c>
      <c r="F16" s="96">
        <f t="shared" si="0"/>
        <v>0.97244167433863349</v>
      </c>
      <c r="G16" s="117">
        <f>lt_sl!G33</f>
        <v>86724</v>
      </c>
      <c r="H16" s="119">
        <f>1-lt_sl!E33</f>
        <v>0.950874</v>
      </c>
      <c r="I16" s="100">
        <f t="shared" si="1"/>
        <v>4.9126000000000003E-2</v>
      </c>
      <c r="J16" s="120" t="str">
        <f>lt_sl!F33</f>
        <v>2.5</v>
      </c>
      <c r="K16" s="122">
        <f>lt_sl!K33</f>
        <v>26.16</v>
      </c>
      <c r="L16" s="100">
        <f t="shared" si="9"/>
        <v>0.95219493450034709</v>
      </c>
      <c r="M16" s="99">
        <f t="shared" si="2"/>
        <v>4.780506549965291E-2</v>
      </c>
      <c r="N16" s="97">
        <f t="shared" si="6"/>
        <v>88610.658496382704</v>
      </c>
      <c r="O16" s="98">
        <f t="shared" si="3"/>
        <v>4236.0383333869504</v>
      </c>
      <c r="P16" s="100">
        <f t="shared" si="10"/>
        <v>2.6121716193528171</v>
      </c>
      <c r="Q16" s="97">
        <f t="shared" si="7"/>
        <v>432938.35992794274</v>
      </c>
      <c r="R16" s="97">
        <f t="shared" si="8"/>
        <v>2329237.9481708482</v>
      </c>
      <c r="S16" s="96">
        <f t="shared" si="4"/>
        <v>26.286205155172535</v>
      </c>
      <c r="T16" s="95">
        <f t="shared" si="5"/>
        <v>0.12620515517253494</v>
      </c>
    </row>
    <row r="17" spans="2:28" ht="15" customHeight="1" x14ac:dyDescent="0.3">
      <c r="B17" s="102">
        <v>60</v>
      </c>
      <c r="C17" s="101">
        <v>5</v>
      </c>
      <c r="D17" s="115">
        <f>def_sl!D34</f>
        <v>648.62325270388703</v>
      </c>
      <c r="E17" s="115">
        <f>def_pro_homicidios_sl!D437</f>
        <v>9.03913043478261</v>
      </c>
      <c r="F17" s="96">
        <f t="shared" si="0"/>
        <v>0.98606412829465862</v>
      </c>
      <c r="G17" s="117">
        <f>lt_sl!G34</f>
        <v>82464</v>
      </c>
      <c r="H17" s="119">
        <f>1-lt_sl!E34</f>
        <v>0.93675299999999995</v>
      </c>
      <c r="I17" s="100">
        <f t="shared" si="1"/>
        <v>6.3247000000000053E-2</v>
      </c>
      <c r="J17" s="120" t="str">
        <f>lt_sl!F34</f>
        <v>2.5</v>
      </c>
      <c r="K17" s="122">
        <f>lt_sl!K34</f>
        <v>22.38</v>
      </c>
      <c r="L17" s="100">
        <f t="shared" si="9"/>
        <v>0.93760631052621923</v>
      </c>
      <c r="M17" s="99">
        <f t="shared" si="2"/>
        <v>6.2393689473780767E-2</v>
      </c>
      <c r="N17" s="97">
        <f t="shared" si="6"/>
        <v>84374.62016299575</v>
      </c>
      <c r="O17" s="98">
        <f t="shared" si="3"/>
        <v>5264.4438499181588</v>
      </c>
      <c r="P17" s="100">
        <f t="shared" si="10"/>
        <v>2.6068719279558694</v>
      </c>
      <c r="Q17" s="97">
        <f t="shared" si="7"/>
        <v>409274.61245403951</v>
      </c>
      <c r="R17" s="97">
        <f t="shared" si="8"/>
        <v>1896299.5882429057</v>
      </c>
      <c r="S17" s="96">
        <f t="shared" si="4"/>
        <v>22.474762962839002</v>
      </c>
      <c r="T17" s="95">
        <f t="shared" si="5"/>
        <v>9.476296283900254E-2</v>
      </c>
    </row>
    <row r="18" spans="2:28" ht="15" customHeight="1" x14ac:dyDescent="0.3">
      <c r="B18" s="102">
        <v>65</v>
      </c>
      <c r="C18" s="101">
        <v>5</v>
      </c>
      <c r="D18" s="115">
        <f>def_sl!D35</f>
        <v>709.13376084241497</v>
      </c>
      <c r="E18" s="115">
        <f>def_pro_homicidios_sl!D438</f>
        <v>8.0347826086956502</v>
      </c>
      <c r="F18" s="96">
        <f t="shared" si="0"/>
        <v>0.98866958104046443</v>
      </c>
      <c r="G18" s="117">
        <f>lt_sl!G35</f>
        <v>77248</v>
      </c>
      <c r="H18" s="119">
        <f>1-lt_sl!E35</f>
        <v>0.911358</v>
      </c>
      <c r="I18" s="100">
        <f t="shared" si="1"/>
        <v>8.8641999999999999E-2</v>
      </c>
      <c r="J18" s="120" t="str">
        <f>lt_sl!F35</f>
        <v>2.5</v>
      </c>
      <c r="K18" s="122">
        <f>lt_sl!K35</f>
        <v>18.72</v>
      </c>
      <c r="L18" s="100">
        <f t="shared" si="9"/>
        <v>0.91231696447692157</v>
      </c>
      <c r="M18" s="99">
        <f t="shared" si="2"/>
        <v>8.7683035523078434E-2</v>
      </c>
      <c r="N18" s="97">
        <f t="shared" si="6"/>
        <v>79110.176313077594</v>
      </c>
      <c r="O18" s="98">
        <f t="shared" si="3"/>
        <v>6936.6203998965811</v>
      </c>
      <c r="P18" s="100">
        <f t="shared" si="10"/>
        <v>2.6212277975831211</v>
      </c>
      <c r="Q18" s="97">
        <f t="shared" si="7"/>
        <v>379050.24177939619</v>
      </c>
      <c r="R18" s="97">
        <f t="shared" si="8"/>
        <v>1487024.9757888662</v>
      </c>
      <c r="S18" s="96">
        <f t="shared" si="4"/>
        <v>18.79688612883357</v>
      </c>
      <c r="T18" s="95">
        <f t="shared" si="5"/>
        <v>7.6886128833571377E-2</v>
      </c>
    </row>
    <row r="19" spans="2:28" ht="15" customHeight="1" x14ac:dyDescent="0.3">
      <c r="B19" s="102">
        <v>70</v>
      </c>
      <c r="C19" s="101">
        <v>5</v>
      </c>
      <c r="D19" s="115">
        <f>def_sl!D36</f>
        <v>818.65582030896303</v>
      </c>
      <c r="E19" s="115">
        <f>def_pro_homicidios_sl!D439</f>
        <v>1.00434782608696</v>
      </c>
      <c r="F19" s="96">
        <f t="shared" si="0"/>
        <v>0.99877317451220482</v>
      </c>
      <c r="G19" s="117">
        <f>lt_sl!G36</f>
        <v>70401</v>
      </c>
      <c r="H19" s="119">
        <f>1-lt_sl!E36</f>
        <v>0.87098500000000001</v>
      </c>
      <c r="I19" s="100">
        <f t="shared" si="1"/>
        <v>0.12901499999999999</v>
      </c>
      <c r="J19" s="120" t="str">
        <f>lt_sl!F36</f>
        <v>2.5</v>
      </c>
      <c r="K19" s="122">
        <f>lt_sl!K36</f>
        <v>15.3</v>
      </c>
      <c r="L19" s="100">
        <f t="shared" si="9"/>
        <v>0.87113261140819465</v>
      </c>
      <c r="M19" s="99">
        <f t="shared" si="2"/>
        <v>0.12886738859180535</v>
      </c>
      <c r="N19" s="97">
        <f t="shared" si="6"/>
        <v>72173.555913181015</v>
      </c>
      <c r="O19" s="98">
        <f t="shared" si="3"/>
        <v>9300.8176759162889</v>
      </c>
      <c r="P19" s="100">
        <f t="shared" si="10"/>
        <v>2.6085395989232243</v>
      </c>
      <c r="Q19" s="97">
        <f>(C19*N20)+(P19*O19)</f>
        <v>338625.24239631637</v>
      </c>
      <c r="R19" s="97">
        <f t="shared" si="8"/>
        <v>1107974.7340094699</v>
      </c>
      <c r="S19" s="96">
        <f t="shared" si="4"/>
        <v>15.351533120278491</v>
      </c>
      <c r="T19" s="95">
        <f t="shared" si="5"/>
        <v>5.153312027849033E-2</v>
      </c>
    </row>
    <row r="20" spans="2:28" ht="15" customHeight="1" x14ac:dyDescent="0.3">
      <c r="B20" s="102">
        <v>75</v>
      </c>
      <c r="C20" s="101">
        <v>5</v>
      </c>
      <c r="D20" s="115">
        <f>def_sl!D37</f>
        <v>908.67463517819397</v>
      </c>
      <c r="E20" s="115">
        <f>def_pro_homicidios_sl!D440</f>
        <v>5.0217391304347796</v>
      </c>
      <c r="F20" s="96">
        <f t="shared" si="0"/>
        <v>0.99447355639078672</v>
      </c>
      <c r="G20" s="117">
        <f>lt_sl!G37</f>
        <v>61318</v>
      </c>
      <c r="H20" s="119">
        <f>1-lt_sl!E37</f>
        <v>0.81166499999999997</v>
      </c>
      <c r="I20" s="100">
        <f t="shared" si="1"/>
        <v>0.18833500000000003</v>
      </c>
      <c r="J20" s="120" t="str">
        <f>lt_sl!F37</f>
        <v>2.5</v>
      </c>
      <c r="K20" s="122">
        <f>lt_sl!K37</f>
        <v>12.2</v>
      </c>
      <c r="L20" s="100">
        <f t="shared" si="9"/>
        <v>0.8126015435751649</v>
      </c>
      <c r="M20" s="99">
        <f t="shared" si="2"/>
        <v>0.1873984564248351</v>
      </c>
      <c r="N20" s="97">
        <f t="shared" si="6"/>
        <v>62872.738237264726</v>
      </c>
      <c r="O20" s="98">
        <f t="shared" si="3"/>
        <v>11782.254096866118</v>
      </c>
      <c r="P20" s="100">
        <f t="shared" si="10"/>
        <v>2.5993939366852761</v>
      </c>
      <c r="Q20" s="97">
        <f t="shared" si="7"/>
        <v>286079.1405618721</v>
      </c>
      <c r="R20" s="97">
        <f t="shared" si="8"/>
        <v>769349.49161315348</v>
      </c>
      <c r="S20" s="96">
        <f t="shared" si="4"/>
        <v>12.236614996945677</v>
      </c>
      <c r="T20" s="95">
        <f t="shared" si="5"/>
        <v>3.6614996945678158E-2</v>
      </c>
    </row>
    <row r="21" spans="2:28" ht="15" customHeight="1" x14ac:dyDescent="0.3">
      <c r="B21" s="102">
        <v>80</v>
      </c>
      <c r="C21" s="101">
        <v>5</v>
      </c>
      <c r="D21" s="115">
        <f>def_sl!D38</f>
        <v>1003.19124416556</v>
      </c>
      <c r="E21" s="115">
        <f>def_pro_homicidios_sl!D441</f>
        <v>4.0173913043478304</v>
      </c>
      <c r="F21" s="96">
        <f t="shared" si="0"/>
        <v>0.99599538838909085</v>
      </c>
      <c r="G21" s="117">
        <f>lt_sl!G38</f>
        <v>49770</v>
      </c>
      <c r="H21" s="119">
        <f>1-lt_sl!E38</f>
        <v>0.70694699999999999</v>
      </c>
      <c r="I21" s="100">
        <f t="shared" si="1"/>
        <v>0.29305300000000001</v>
      </c>
      <c r="J21" s="120" t="str">
        <f>lt_sl!F38</f>
        <v>2.5</v>
      </c>
      <c r="K21" s="122">
        <f>lt_sl!K38</f>
        <v>9.4499999999999993</v>
      </c>
      <c r="L21" s="100">
        <f t="shared" si="9"/>
        <v>0.70792948839678338</v>
      </c>
      <c r="M21" s="99">
        <f t="shared" si="2"/>
        <v>0.29207051160321662</v>
      </c>
      <c r="N21" s="97">
        <f t="shared" si="6"/>
        <v>51090.484140398607</v>
      </c>
      <c r="O21" s="98">
        <f t="shared" si="3"/>
        <v>14922.023840942245</v>
      </c>
      <c r="P21" s="98">
        <f>C21+(F21*(I21/M21)*(J21-C21))</f>
        <v>2.5016355215781587</v>
      </c>
      <c r="Q21" s="97">
        <f>(C21*N22)+(P21*O21)</f>
        <v>218171.76639161911</v>
      </c>
      <c r="R21" s="97">
        <f t="shared" si="8"/>
        <v>483270.35105128138</v>
      </c>
      <c r="S21" s="96">
        <f t="shared" si="4"/>
        <v>9.4591068998922765</v>
      </c>
      <c r="T21" s="95">
        <f t="shared" si="5"/>
        <v>9.1068998922771982E-3</v>
      </c>
    </row>
    <row r="22" spans="2:28" ht="15" customHeight="1" x14ac:dyDescent="0.3">
      <c r="B22" s="94">
        <v>85</v>
      </c>
      <c r="C22" s="93">
        <v>5</v>
      </c>
      <c r="D22" s="116">
        <f>def_sl!D39</f>
        <v>1802.3391376352399</v>
      </c>
      <c r="E22" s="116">
        <f>def_pro_homicidios_sl!D442</f>
        <v>3.0130434782608702</v>
      </c>
      <c r="F22" s="88">
        <f t="shared" si="0"/>
        <v>0.99832825941836112</v>
      </c>
      <c r="G22" s="118">
        <f>lt_sl!G39</f>
        <v>35184</v>
      </c>
      <c r="H22" s="119">
        <f>1-lt_sl!E39</f>
        <v>0</v>
      </c>
      <c r="I22" s="92">
        <f t="shared" si="1"/>
        <v>1</v>
      </c>
      <c r="J22" s="121" t="str">
        <f>lt_sl!F39</f>
        <v>NA</v>
      </c>
      <c r="K22" s="123">
        <f>lt_sl!K39</f>
        <v>7.33</v>
      </c>
      <c r="L22" s="92">
        <f t="shared" si="9"/>
        <v>0</v>
      </c>
      <c r="M22" s="91">
        <f t="shared" si="2"/>
        <v>1</v>
      </c>
      <c r="N22" s="89">
        <f t="shared" si="6"/>
        <v>36168.460299456361</v>
      </c>
      <c r="O22" s="90">
        <f t="shared" si="3"/>
        <v>36168.460299456361</v>
      </c>
      <c r="P22" s="92">
        <f>K22/F22</f>
        <v>7.3422743780392956</v>
      </c>
      <c r="Q22" s="123">
        <f>N22/lt_sl!D39</f>
        <v>265098.58465966227</v>
      </c>
      <c r="R22" s="89">
        <f>Q22</f>
        <v>265098.58465966227</v>
      </c>
      <c r="S22" s="88">
        <f t="shared" si="4"/>
        <v>7.3295512848703401</v>
      </c>
      <c r="T22" s="87">
        <f t="shared" si="5"/>
        <v>-4.4871512965993787E-4</v>
      </c>
    </row>
    <row r="24" spans="2:28" ht="15" customHeight="1" x14ac:dyDescent="0.3">
      <c r="B24" s="169" t="s">
        <v>115</v>
      </c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</row>
    <row r="25" spans="2:28" ht="14.4" x14ac:dyDescent="0.3">
      <c r="C25" s="114"/>
      <c r="D25" s="114"/>
      <c r="E25" s="114"/>
      <c r="F25" s="114"/>
    </row>
    <row r="26" spans="2:28" ht="33" customHeight="1" x14ac:dyDescent="0.3">
      <c r="B26" s="113" t="s">
        <v>110</v>
      </c>
      <c r="C26" s="112" t="s">
        <v>109</v>
      </c>
      <c r="D26" s="112" t="s">
        <v>108</v>
      </c>
      <c r="E26" s="112" t="s">
        <v>107</v>
      </c>
      <c r="F26" s="111"/>
      <c r="G26" s="110"/>
      <c r="H26" s="110"/>
      <c r="I26" s="110" t="s">
        <v>106</v>
      </c>
      <c r="J26" s="110"/>
      <c r="K26" s="109" t="s">
        <v>105</v>
      </c>
      <c r="L26" s="110"/>
      <c r="M26" s="110" t="s">
        <v>104</v>
      </c>
      <c r="N26" s="110"/>
      <c r="O26" s="110" t="s">
        <v>103</v>
      </c>
      <c r="P26" s="110"/>
      <c r="Q26" s="110" t="s">
        <v>102</v>
      </c>
      <c r="R26" s="110" t="s">
        <v>101</v>
      </c>
      <c r="S26" s="109" t="s">
        <v>100</v>
      </c>
      <c r="T26" s="108" t="s">
        <v>99</v>
      </c>
      <c r="AA26" s="84" t="s">
        <v>113</v>
      </c>
      <c r="AB26" s="84" t="s">
        <v>112</v>
      </c>
    </row>
    <row r="27" spans="2:28" ht="14.4" x14ac:dyDescent="0.3">
      <c r="B27" s="102">
        <v>0</v>
      </c>
      <c r="C27" s="101">
        <v>1</v>
      </c>
      <c r="D27" s="124">
        <f>def_sl!D97</f>
        <v>202.72791557498201</v>
      </c>
      <c r="E27" s="124">
        <f>def_pro_homicidios_sl!D902</f>
        <v>0</v>
      </c>
      <c r="F27" s="96">
        <f t="shared" ref="F27:F45" si="11">(D27-E27)/D27</f>
        <v>1</v>
      </c>
      <c r="G27" s="126">
        <f>lt_sl!G78</f>
        <v>100000</v>
      </c>
      <c r="H27" s="127">
        <f>1-lt_sl!E78</f>
        <v>0.99851500000000004</v>
      </c>
      <c r="I27" s="100">
        <f t="shared" ref="I27:I45" si="12">1-H27</f>
        <v>1.4849999999999586E-3</v>
      </c>
      <c r="J27" s="129" t="str">
        <f>lt_sl!F78</f>
        <v>0.06</v>
      </c>
      <c r="K27" s="172">
        <f>lt_sl!K78</f>
        <v>80.900000000000006</v>
      </c>
      <c r="L27" s="100">
        <f t="shared" ref="L27:L45" si="13">H27^F27</f>
        <v>0.99851500000000004</v>
      </c>
      <c r="M27" s="99">
        <f t="shared" ref="M27:M45" si="14">1-L27</f>
        <v>1.4849999999999586E-3</v>
      </c>
      <c r="N27" s="97">
        <v>100000</v>
      </c>
      <c r="O27" s="98">
        <f t="shared" ref="O27:O45" si="15">N27*M27</f>
        <v>148.49999999999585</v>
      </c>
      <c r="P27" s="98">
        <f>C27+(F27*(I27/M27)*(J27-C27))</f>
        <v>6.0000000000000053E-2</v>
      </c>
      <c r="Q27" s="97">
        <f t="shared" ref="Q27:Q44" si="16">(C27*N28)+(P27*O27)</f>
        <v>99860.41</v>
      </c>
      <c r="R27" s="97">
        <f>R28+Q27</f>
        <v>8106708.0490559507</v>
      </c>
      <c r="S27" s="134">
        <f t="shared" ref="S27:S45" si="17">R27/N27</f>
        <v>81.067080490559505</v>
      </c>
      <c r="T27" s="95">
        <f t="shared" ref="T27:T45" si="18">S27-K27</f>
        <v>0.16708049055949914</v>
      </c>
      <c r="Z27" s="135" t="s">
        <v>132</v>
      </c>
      <c r="AA27" s="86">
        <f>S4</f>
        <v>76.478821496084905</v>
      </c>
      <c r="AB27" s="86">
        <f>S27</f>
        <v>81.067080490559505</v>
      </c>
    </row>
    <row r="28" spans="2:28" ht="14.4" customHeight="1" x14ac:dyDescent="0.3">
      <c r="B28" s="102">
        <v>1</v>
      </c>
      <c r="C28" s="101">
        <v>4</v>
      </c>
      <c r="D28" s="124">
        <f>def_sl!D98</f>
        <v>44.008463418515497</v>
      </c>
      <c r="E28" s="124">
        <f>def_pro_homicidios_sl!D903</f>
        <v>1.0204081632653099</v>
      </c>
      <c r="F28" s="96">
        <f t="shared" si="11"/>
        <v>0.97681336533926799</v>
      </c>
      <c r="G28" s="126">
        <f>lt_sl!G79</f>
        <v>99852</v>
      </c>
      <c r="H28" s="127">
        <f>1-lt_sl!E79</f>
        <v>0.99812599999999996</v>
      </c>
      <c r="I28" s="100">
        <f t="shared" si="12"/>
        <v>1.8740000000000423E-3</v>
      </c>
      <c r="J28" s="129" t="str">
        <f>lt_sl!F79</f>
        <v>1.52</v>
      </c>
      <c r="K28" s="172">
        <f>lt_sl!K79</f>
        <v>80.02</v>
      </c>
      <c r="L28" s="100">
        <f t="shared" si="13"/>
        <v>0.99816941195764541</v>
      </c>
      <c r="M28" s="99">
        <f t="shared" si="14"/>
        <v>1.8305880423545862E-3</v>
      </c>
      <c r="N28" s="97">
        <f t="shared" ref="N28:N45" si="19">N27*L27</f>
        <v>99851.5</v>
      </c>
      <c r="O28" s="98">
        <f t="shared" si="15"/>
        <v>182.78696191116896</v>
      </c>
      <c r="P28" s="98">
        <f>C28+(F28*(I28/M28)*(J28-C28))</f>
        <v>1.5200539134723017</v>
      </c>
      <c r="Q28" s="97">
        <f t="shared" si="16"/>
        <v>398952.69818914006</v>
      </c>
      <c r="R28" s="97">
        <f t="shared" ref="R27:R44" si="20">R29+Q28</f>
        <v>8006847.6390559506</v>
      </c>
      <c r="S28" s="96">
        <f t="shared" si="17"/>
        <v>80.187554909600266</v>
      </c>
      <c r="T28" s="95">
        <f t="shared" si="18"/>
        <v>0.16755490960026975</v>
      </c>
      <c r="U28" s="107"/>
      <c r="V28" s="163" t="s">
        <v>98</v>
      </c>
      <c r="W28" s="173"/>
      <c r="Z28" s="135" t="s">
        <v>133</v>
      </c>
      <c r="AA28" s="86">
        <f>K4</f>
        <v>75.44</v>
      </c>
      <c r="AB28" s="86">
        <f>K27</f>
        <v>80.900000000000006</v>
      </c>
    </row>
    <row r="29" spans="2:28" ht="14.4" x14ac:dyDescent="0.3">
      <c r="B29" s="102">
        <v>5</v>
      </c>
      <c r="C29" s="101">
        <v>5</v>
      </c>
      <c r="D29" s="124">
        <f>def_sl!D99</f>
        <v>24.003385367406199</v>
      </c>
      <c r="E29" s="124">
        <v>0</v>
      </c>
      <c r="F29" s="96">
        <f t="shared" si="11"/>
        <v>1</v>
      </c>
      <c r="G29" s="126">
        <f>lt_sl!G80</f>
        <v>99664</v>
      </c>
      <c r="H29" s="127">
        <f>1-lt_sl!E80</f>
        <v>0.99900599999999995</v>
      </c>
      <c r="I29" s="100">
        <f t="shared" si="12"/>
        <v>9.940000000000504E-4</v>
      </c>
      <c r="J29" s="129" t="str">
        <f>lt_sl!F80</f>
        <v>2.5</v>
      </c>
      <c r="K29" s="172">
        <f>lt_sl!K80</f>
        <v>76.17</v>
      </c>
      <c r="L29" s="100">
        <f t="shared" si="13"/>
        <v>0.99900599999999995</v>
      </c>
      <c r="M29" s="99">
        <f t="shared" si="14"/>
        <v>9.940000000000504E-4</v>
      </c>
      <c r="N29" s="97">
        <f t="shared" si="19"/>
        <v>99668.713038088827</v>
      </c>
      <c r="O29" s="98">
        <f t="shared" si="15"/>
        <v>99.070700759865318</v>
      </c>
      <c r="P29" s="98">
        <f>C29+(F29*(I29/M29)*(J29-C29))</f>
        <v>2.5</v>
      </c>
      <c r="Q29" s="97">
        <f t="shared" si="16"/>
        <v>498095.88843854447</v>
      </c>
      <c r="R29" s="97">
        <f t="shared" si="20"/>
        <v>7607894.9408668103</v>
      </c>
      <c r="S29" s="96">
        <f t="shared" si="17"/>
        <v>76.33182679864062</v>
      </c>
      <c r="T29" s="95">
        <f t="shared" si="18"/>
        <v>0.16182679864061811</v>
      </c>
      <c r="U29" s="107"/>
      <c r="V29" s="174"/>
      <c r="W29" s="175"/>
      <c r="AA29" s="85">
        <f>AA27-AA28</f>
        <v>1.0388214960849069</v>
      </c>
      <c r="AB29" s="85">
        <f>AB27-AB28</f>
        <v>0.16708049055949914</v>
      </c>
    </row>
    <row r="30" spans="2:28" ht="14.4" x14ac:dyDescent="0.3">
      <c r="B30" s="102">
        <v>10</v>
      </c>
      <c r="C30" s="101">
        <v>5</v>
      </c>
      <c r="D30" s="124">
        <f>def_sl!D100</f>
        <v>33.5062629297014</v>
      </c>
      <c r="E30" s="124">
        <f>def_pro_homicidios_sl!D904</f>
        <v>2.0408163265306101</v>
      </c>
      <c r="F30" s="96">
        <f t="shared" si="11"/>
        <v>0.93909149669086067</v>
      </c>
      <c r="G30" s="126">
        <f>lt_sl!G81</f>
        <v>99565</v>
      </c>
      <c r="H30" s="127">
        <f>1-lt_sl!E81</f>
        <v>0.99866200000000005</v>
      </c>
      <c r="I30" s="100">
        <f t="shared" si="12"/>
        <v>1.3379999999999503E-3</v>
      </c>
      <c r="J30" s="129" t="str">
        <f>lt_sl!F81</f>
        <v>2.5</v>
      </c>
      <c r="K30" s="172">
        <f>lt_sl!K81</f>
        <v>71.239999999999995</v>
      </c>
      <c r="L30" s="100">
        <f t="shared" si="13"/>
        <v>0.99874344435340823</v>
      </c>
      <c r="M30" s="99">
        <f t="shared" si="14"/>
        <v>1.2565556465917727E-3</v>
      </c>
      <c r="N30" s="97">
        <f t="shared" si="19"/>
        <v>99569.642337328958</v>
      </c>
      <c r="O30" s="98">
        <f t="shared" si="15"/>
        <v>125.11479630809393</v>
      </c>
      <c r="P30" s="100">
        <f>(((-5/24)*O29)+((2.5)*O30)+((5/24)*O31))/O30</f>
        <v>2.6481239894357125</v>
      </c>
      <c r="Q30" s="97">
        <f t="shared" si="16"/>
        <v>497553.9571986412</v>
      </c>
      <c r="R30" s="97">
        <f t="shared" si="20"/>
        <v>7109799.052428266</v>
      </c>
      <c r="S30" s="96">
        <f t="shared" si="17"/>
        <v>71.405288655564263</v>
      </c>
      <c r="T30" s="95">
        <f t="shared" si="18"/>
        <v>0.16528865556426808</v>
      </c>
      <c r="U30" s="107"/>
      <c r="V30" s="176"/>
      <c r="W30" s="177"/>
    </row>
    <row r="31" spans="2:28" ht="14.4" x14ac:dyDescent="0.3">
      <c r="B31" s="102">
        <v>15</v>
      </c>
      <c r="C31" s="101">
        <v>5</v>
      </c>
      <c r="D31" s="124">
        <f>def_sl!D101</f>
        <v>56.010325370588902</v>
      </c>
      <c r="E31" s="124">
        <f>def_pro_homicidios_sl!D905</f>
        <v>8.1632653061224492</v>
      </c>
      <c r="F31" s="96">
        <f t="shared" si="11"/>
        <v>0.85425427807978793</v>
      </c>
      <c r="G31" s="126">
        <f>lt_sl!G82</f>
        <v>99432</v>
      </c>
      <c r="H31" s="127">
        <f>1-lt_sl!E82</f>
        <v>0.99778699999999998</v>
      </c>
      <c r="I31" s="100">
        <f t="shared" si="12"/>
        <v>2.2130000000000205E-3</v>
      </c>
      <c r="J31" s="129" t="str">
        <f>lt_sl!F82</f>
        <v>2.5</v>
      </c>
      <c r="K31" s="172">
        <f>lt_sl!K82</f>
        <v>66.33</v>
      </c>
      <c r="L31" s="100">
        <f t="shared" si="13"/>
        <v>0.99810923015384689</v>
      </c>
      <c r="M31" s="99">
        <f t="shared" si="14"/>
        <v>1.8907698461531064E-3</v>
      </c>
      <c r="N31" s="97">
        <f t="shared" si="19"/>
        <v>99444.527541020871</v>
      </c>
      <c r="O31" s="98">
        <f t="shared" si="15"/>
        <v>188.02671403950438</v>
      </c>
      <c r="P31" s="100">
        <f>(((-5/24)*O30)+((2.5)*O31)+((5/24)*O32))/O31</f>
        <v>2.5973716849220327</v>
      </c>
      <c r="Q31" s="97">
        <f t="shared" si="16"/>
        <v>496770.87939796201</v>
      </c>
      <c r="R31" s="97">
        <f t="shared" si="20"/>
        <v>6612245.0952296248</v>
      </c>
      <c r="S31" s="96">
        <f t="shared" si="17"/>
        <v>66.491794558549969</v>
      </c>
      <c r="T31" s="95">
        <f t="shared" si="18"/>
        <v>0.16179455854997116</v>
      </c>
      <c r="U31" s="84"/>
      <c r="V31" s="106" t="s">
        <v>97</v>
      </c>
      <c r="W31" s="106" t="s">
        <v>96</v>
      </c>
    </row>
    <row r="32" spans="2:28" ht="14.4" x14ac:dyDescent="0.3">
      <c r="B32" s="102">
        <v>20</v>
      </c>
      <c r="C32" s="101">
        <v>5</v>
      </c>
      <c r="D32" s="124">
        <f>def_sl!D102</f>
        <v>59.009817565477903</v>
      </c>
      <c r="E32" s="124">
        <f>def_pro_homicidios_sl!D906</f>
        <v>8.1632653061224492</v>
      </c>
      <c r="F32" s="96">
        <f t="shared" si="11"/>
        <v>0.86166259034669268</v>
      </c>
      <c r="G32" s="126">
        <f>lt_sl!G83</f>
        <v>99212</v>
      </c>
      <c r="H32" s="127">
        <f>1-lt_sl!E83</f>
        <v>0.99751000000000001</v>
      </c>
      <c r="I32" s="100">
        <f t="shared" si="12"/>
        <v>2.4899999999999922E-3</v>
      </c>
      <c r="J32" s="129" t="str">
        <f>lt_sl!F83</f>
        <v>2.5</v>
      </c>
      <c r="K32" s="172">
        <f>lt_sl!K83</f>
        <v>61.47</v>
      </c>
      <c r="L32" s="100">
        <f t="shared" si="13"/>
        <v>0.99785409027394589</v>
      </c>
      <c r="M32" s="99">
        <f t="shared" si="14"/>
        <v>2.1459097260541071E-3</v>
      </c>
      <c r="N32" s="97">
        <f t="shared" si="19"/>
        <v>99256.50082698137</v>
      </c>
      <c r="O32" s="98">
        <f t="shared" si="15"/>
        <v>212.99549049871686</v>
      </c>
      <c r="P32" s="100">
        <f>(((-5/24)*O31)+((2.5)*O32)+((5/24)*O33))/O32</f>
        <v>2.5936966391021614</v>
      </c>
      <c r="Q32" s="97">
        <f t="shared" si="16"/>
        <v>495769.97237026371</v>
      </c>
      <c r="R32" s="97">
        <f t="shared" si="20"/>
        <v>6115474.2158316625</v>
      </c>
      <c r="S32" s="96">
        <f t="shared" si="17"/>
        <v>61.612833062610484</v>
      </c>
      <c r="T32" s="95">
        <f t="shared" si="18"/>
        <v>0.14283306261048523</v>
      </c>
      <c r="U32" s="105"/>
      <c r="V32" s="103">
        <f>([1]TV!M29-[1]TV!M47)/[1]TV!J29</f>
        <v>73.32569985958979</v>
      </c>
      <c r="W32" s="103">
        <f>(R27-R45)/N27</f>
        <v>77.397209693838207</v>
      </c>
    </row>
    <row r="33" spans="2:23" ht="14.4" x14ac:dyDescent="0.3">
      <c r="B33" s="102">
        <v>25</v>
      </c>
      <c r="C33" s="101">
        <v>5</v>
      </c>
      <c r="D33" s="124">
        <f>def_sl!D103</f>
        <v>73.512187322662299</v>
      </c>
      <c r="E33" s="124">
        <f>def_pro_homicidios_sl!D907</f>
        <v>8.1632653061224492</v>
      </c>
      <c r="F33" s="96">
        <f t="shared" si="11"/>
        <v>0.88895357894478144</v>
      </c>
      <c r="G33" s="126">
        <f>lt_sl!G84</f>
        <v>98965</v>
      </c>
      <c r="H33" s="127">
        <f>1-lt_sl!E84</f>
        <v>0.99677700000000002</v>
      </c>
      <c r="I33" s="100">
        <f t="shared" si="12"/>
        <v>3.2229999999999759E-3</v>
      </c>
      <c r="J33" s="129" t="str">
        <f>lt_sl!F84</f>
        <v>2.5</v>
      </c>
      <c r="K33" s="172">
        <f>lt_sl!K84</f>
        <v>56.62</v>
      </c>
      <c r="L33" s="100">
        <f t="shared" si="13"/>
        <v>0.99713438928910303</v>
      </c>
      <c r="M33" s="99">
        <f t="shared" si="14"/>
        <v>2.8656107108969708E-3</v>
      </c>
      <c r="N33" s="97">
        <f t="shared" si="19"/>
        <v>99043.50533648266</v>
      </c>
      <c r="O33" s="98">
        <f t="shared" si="15"/>
        <v>283.82012973700603</v>
      </c>
      <c r="P33" s="100">
        <f>(((-5/24)*O32)+((2.5)*O33)+((5/24)*O34))/O33</f>
        <v>2.5876882274022872</v>
      </c>
      <c r="Q33" s="97">
        <f t="shared" si="16"/>
        <v>494532.86404214846</v>
      </c>
      <c r="R33" s="97">
        <f t="shared" si="20"/>
        <v>5619704.2434613984</v>
      </c>
      <c r="S33" s="96">
        <f t="shared" si="17"/>
        <v>56.739755164858664</v>
      </c>
      <c r="T33" s="95">
        <f t="shared" si="18"/>
        <v>0.11975516485866677</v>
      </c>
      <c r="V33" s="104" t="s">
        <v>95</v>
      </c>
      <c r="W33" s="103">
        <f>W32-V32</f>
        <v>4.0715098342484168</v>
      </c>
    </row>
    <row r="34" spans="2:23" ht="14.4" x14ac:dyDescent="0.3">
      <c r="B34" s="102">
        <v>30</v>
      </c>
      <c r="C34" s="101">
        <v>5</v>
      </c>
      <c r="D34" s="124">
        <f>def_sl!D104</f>
        <v>76.010325370588902</v>
      </c>
      <c r="E34" s="124">
        <f>def_pro_homicidios_sl!D908</f>
        <v>4.0816326530612201</v>
      </c>
      <c r="F34" s="96">
        <f t="shared" si="11"/>
        <v>0.9463016026683061</v>
      </c>
      <c r="G34" s="126">
        <f>lt_sl!G85</f>
        <v>98646</v>
      </c>
      <c r="H34" s="127">
        <f>1-lt_sl!E85</f>
        <v>0.99644299999999997</v>
      </c>
      <c r="I34" s="100">
        <f t="shared" si="12"/>
        <v>3.5570000000000324E-3</v>
      </c>
      <c r="J34" s="129" t="str">
        <f>lt_sl!F85</f>
        <v>2.5</v>
      </c>
      <c r="K34" s="172">
        <f>lt_sl!K85</f>
        <v>51.8</v>
      </c>
      <c r="L34" s="100">
        <f t="shared" si="13"/>
        <v>0.99663368333570701</v>
      </c>
      <c r="M34" s="99">
        <f t="shared" si="14"/>
        <v>3.3663166642929898E-3</v>
      </c>
      <c r="N34" s="97">
        <f t="shared" si="19"/>
        <v>98759.685206745649</v>
      </c>
      <c r="O34" s="98">
        <f t="shared" si="15"/>
        <v>332.45637407179777</v>
      </c>
      <c r="P34" s="100">
        <f t="shared" ref="P34:P42" si="21">(((-5/24)*O33)+((2.5)*O34)+((5/24)*O35))/O34</f>
        <v>2.6321344468155887</v>
      </c>
      <c r="Q34" s="97">
        <f t="shared" si="16"/>
        <v>493011.21403762704</v>
      </c>
      <c r="R34" s="97">
        <f t="shared" si="20"/>
        <v>5125171.3794192495</v>
      </c>
      <c r="S34" s="96">
        <f t="shared" si="17"/>
        <v>51.895379867707206</v>
      </c>
      <c r="T34" s="95">
        <f t="shared" si="18"/>
        <v>9.5379867707208632E-2</v>
      </c>
    </row>
    <row r="35" spans="2:23" ht="14.4" x14ac:dyDescent="0.3">
      <c r="B35" s="102">
        <v>35</v>
      </c>
      <c r="C35" s="101">
        <v>5</v>
      </c>
      <c r="D35" s="124">
        <f>def_sl!D105</f>
        <v>108.51794244725301</v>
      </c>
      <c r="E35" s="124">
        <f>def_pro_homicidios_sl!D909</f>
        <v>7.1428571428571397</v>
      </c>
      <c r="F35" s="96">
        <f t="shared" si="11"/>
        <v>0.93417810012082525</v>
      </c>
      <c r="G35" s="126">
        <f>lt_sl!G86</f>
        <v>98295</v>
      </c>
      <c r="H35" s="127">
        <f>1-lt_sl!E86</f>
        <v>0.99462099999999998</v>
      </c>
      <c r="I35" s="100">
        <f t="shared" si="12"/>
        <v>5.3790000000000227E-3</v>
      </c>
      <c r="J35" s="129" t="str">
        <f>lt_sl!F86</f>
        <v>2.5</v>
      </c>
      <c r="K35" s="172">
        <f>lt_sl!K86</f>
        <v>46.97</v>
      </c>
      <c r="L35" s="100">
        <f t="shared" si="13"/>
        <v>0.99497416473896905</v>
      </c>
      <c r="M35" s="99">
        <f t="shared" si="14"/>
        <v>5.0258352610309531E-3</v>
      </c>
      <c r="N35" s="97">
        <f t="shared" si="19"/>
        <v>98427.228832673849</v>
      </c>
      <c r="O35" s="98">
        <f t="shared" si="15"/>
        <v>494.67903731281473</v>
      </c>
      <c r="P35" s="100">
        <f t="shared" si="21"/>
        <v>2.7183983936300646</v>
      </c>
      <c r="Q35" s="97">
        <f t="shared" si="16"/>
        <v>491007.48367719876</v>
      </c>
      <c r="R35" s="97">
        <f t="shared" si="20"/>
        <v>4632160.1653816225</v>
      </c>
      <c r="S35" s="96">
        <f t="shared" si="17"/>
        <v>47.061775692743403</v>
      </c>
      <c r="T35" s="95">
        <f t="shared" si="18"/>
        <v>9.1775692743404136E-2</v>
      </c>
    </row>
    <row r="36" spans="2:23" ht="14.4" x14ac:dyDescent="0.3">
      <c r="B36" s="102">
        <v>40</v>
      </c>
      <c r="C36" s="101">
        <v>5</v>
      </c>
      <c r="D36" s="124">
        <f>def_sl!D106</f>
        <v>164.53012976991499</v>
      </c>
      <c r="E36" s="124">
        <f>def_pro_homicidios_sl!D910</f>
        <v>1.0204081632653099</v>
      </c>
      <c r="F36" s="96">
        <f t="shared" si="11"/>
        <v>0.99379804680946715</v>
      </c>
      <c r="G36" s="126">
        <f>lt_sl!G87</f>
        <v>97766</v>
      </c>
      <c r="H36" s="127">
        <f>1-lt_sl!E87</f>
        <v>0.99125600000000003</v>
      </c>
      <c r="I36" s="100">
        <f t="shared" si="12"/>
        <v>8.743999999999974E-3</v>
      </c>
      <c r="J36" s="129" t="str">
        <f>lt_sl!F87</f>
        <v>2.5</v>
      </c>
      <c r="K36" s="172">
        <f>lt_sl!K87</f>
        <v>42.21</v>
      </c>
      <c r="L36" s="100">
        <f t="shared" si="13"/>
        <v>0.99130999356204119</v>
      </c>
      <c r="M36" s="99">
        <f t="shared" si="14"/>
        <v>8.6900064379588082E-3</v>
      </c>
      <c r="N36" s="97">
        <f t="shared" si="19"/>
        <v>97932.549795361032</v>
      </c>
      <c r="O36" s="98">
        <f t="shared" si="15"/>
        <v>851.03448820740891</v>
      </c>
      <c r="P36" s="100">
        <f t="shared" si="21"/>
        <v>2.6821807531318989</v>
      </c>
      <c r="Q36" s="97">
        <f t="shared" si="16"/>
        <v>487690.20486028946</v>
      </c>
      <c r="R36" s="97">
        <f t="shared" si="20"/>
        <v>4141152.6817044234</v>
      </c>
      <c r="S36" s="96">
        <f t="shared" si="17"/>
        <v>42.285763929947073</v>
      </c>
      <c r="T36" s="95">
        <f t="shared" si="18"/>
        <v>7.5763929947072484E-2</v>
      </c>
    </row>
    <row r="37" spans="2:23" ht="14.4" x14ac:dyDescent="0.3">
      <c r="B37" s="102">
        <v>45</v>
      </c>
      <c r="C37" s="101">
        <v>5</v>
      </c>
      <c r="D37" s="124">
        <f>def_sl!D107</f>
        <v>225.03859318843001</v>
      </c>
      <c r="E37" s="124">
        <f>def_pro_homicidios_sl!D911</f>
        <v>1.0204081632653099</v>
      </c>
      <c r="F37" s="96">
        <f t="shared" si="11"/>
        <v>0.99546563036673941</v>
      </c>
      <c r="G37" s="126">
        <f>lt_sl!G88</f>
        <v>96912</v>
      </c>
      <c r="H37" s="127">
        <f>1-lt_sl!E88</f>
        <v>0.98718099999999998</v>
      </c>
      <c r="I37" s="100">
        <f t="shared" si="12"/>
        <v>1.2819000000000025E-2</v>
      </c>
      <c r="J37" s="129" t="str">
        <f>lt_sl!F88</f>
        <v>2.5</v>
      </c>
      <c r="K37" s="172">
        <f>lt_sl!K88</f>
        <v>37.56</v>
      </c>
      <c r="L37" s="100">
        <f t="shared" si="13"/>
        <v>0.98723875361229363</v>
      </c>
      <c r="M37" s="99">
        <f t="shared" si="14"/>
        <v>1.2761246387706371E-2</v>
      </c>
      <c r="N37" s="97">
        <f t="shared" si="19"/>
        <v>97081.515307153619</v>
      </c>
      <c r="O37" s="98">
        <f t="shared" si="15"/>
        <v>1238.8811365264748</v>
      </c>
      <c r="P37" s="100">
        <f t="shared" si="21"/>
        <v>2.6439956142220975</v>
      </c>
      <c r="Q37" s="97">
        <f t="shared" si="16"/>
        <v>482488.76714465424</v>
      </c>
      <c r="R37" s="97">
        <f t="shared" si="20"/>
        <v>3653462.4768441338</v>
      </c>
      <c r="S37" s="96">
        <f t="shared" si="17"/>
        <v>37.632936252437361</v>
      </c>
      <c r="T37" s="95">
        <f t="shared" si="18"/>
        <v>7.2936252437358462E-2</v>
      </c>
    </row>
    <row r="38" spans="2:23" ht="14.4" x14ac:dyDescent="0.3">
      <c r="B38" s="102">
        <v>50</v>
      </c>
      <c r="C38" s="101">
        <v>5</v>
      </c>
      <c r="D38" s="124">
        <f>def_sl!D108</f>
        <v>287.54976490087103</v>
      </c>
      <c r="E38" s="124">
        <f>def_pro_homicidios_sl!D912</f>
        <v>2.0408163265306101</v>
      </c>
      <c r="F38" s="96">
        <f t="shared" si="11"/>
        <v>0.99290273693239095</v>
      </c>
      <c r="G38" s="126">
        <f>lt_sl!G89</f>
        <v>95669</v>
      </c>
      <c r="H38" s="127">
        <f>1-lt_sl!E89</f>
        <v>0.98206000000000004</v>
      </c>
      <c r="I38" s="100">
        <f t="shared" si="12"/>
        <v>1.7939999999999956E-2</v>
      </c>
      <c r="J38" s="129" t="str">
        <f>lt_sl!F89</f>
        <v>2.5</v>
      </c>
      <c r="K38" s="172">
        <f>lt_sl!K89</f>
        <v>33.020000000000003</v>
      </c>
      <c r="L38" s="100">
        <f t="shared" si="13"/>
        <v>0.98218618400931124</v>
      </c>
      <c r="M38" s="99">
        <f t="shared" si="14"/>
        <v>1.7813815990688764E-2</v>
      </c>
      <c r="N38" s="97">
        <f t="shared" si="19"/>
        <v>95842.634170627149</v>
      </c>
      <c r="O38" s="98">
        <f t="shared" si="15"/>
        <v>1707.3230491784511</v>
      </c>
      <c r="P38" s="100">
        <f t="shared" si="21"/>
        <v>2.7153188915327502</v>
      </c>
      <c r="Q38" s="97">
        <f t="shared" si="16"/>
        <v>475312.48213662702</v>
      </c>
      <c r="R38" s="97">
        <f t="shared" si="20"/>
        <v>3170973.7096994794</v>
      </c>
      <c r="S38" s="96">
        <f t="shared" si="17"/>
        <v>33.085210325649484</v>
      </c>
      <c r="T38" s="95">
        <f t="shared" si="18"/>
        <v>6.5210325649481149E-2</v>
      </c>
    </row>
    <row r="39" spans="2:23" ht="14.4" x14ac:dyDescent="0.3">
      <c r="B39" s="102">
        <v>55</v>
      </c>
      <c r="C39" s="101">
        <v>5</v>
      </c>
      <c r="D39" s="124">
        <f>def_sl!D109</f>
        <v>422.07210832575203</v>
      </c>
      <c r="E39" s="124">
        <f>def_pro_homicidios_sl!D913</f>
        <v>3.06122448979592</v>
      </c>
      <c r="F39" s="96">
        <f t="shared" si="11"/>
        <v>0.99274715284566195</v>
      </c>
      <c r="G39" s="126">
        <f>lt_sl!G90</f>
        <v>93953</v>
      </c>
      <c r="H39" s="127">
        <f>1-lt_sl!E90</f>
        <v>0.96786499999999998</v>
      </c>
      <c r="I39" s="100">
        <f t="shared" si="12"/>
        <v>3.2135000000000025E-2</v>
      </c>
      <c r="J39" s="129" t="str">
        <f>lt_sl!F90</f>
        <v>2.5</v>
      </c>
      <c r="K39" s="172">
        <f>lt_sl!K90</f>
        <v>28.57</v>
      </c>
      <c r="L39" s="100">
        <f t="shared" si="13"/>
        <v>0.96809431177689331</v>
      </c>
      <c r="M39" s="99">
        <f t="shared" si="14"/>
        <v>3.1905688223106687E-2</v>
      </c>
      <c r="N39" s="97">
        <f t="shared" si="19"/>
        <v>94135.3111214487</v>
      </c>
      <c r="O39" s="98">
        <f t="shared" si="15"/>
        <v>3003.4518874260898</v>
      </c>
      <c r="P39" s="100">
        <f t="shared" si="21"/>
        <v>2.6634022459272413</v>
      </c>
      <c r="Q39" s="97">
        <f t="shared" si="16"/>
        <v>463658.69667261816</v>
      </c>
      <c r="R39" s="97">
        <f t="shared" si="20"/>
        <v>2695661.2275628522</v>
      </c>
      <c r="S39" s="96">
        <f t="shared" si="17"/>
        <v>28.636026114419955</v>
      </c>
      <c r="T39" s="95">
        <f t="shared" si="18"/>
        <v>6.6026114419955206E-2</v>
      </c>
    </row>
    <row r="40" spans="2:23" ht="14.4" x14ac:dyDescent="0.3">
      <c r="B40" s="102">
        <v>60</v>
      </c>
      <c r="C40" s="101">
        <v>5</v>
      </c>
      <c r="D40" s="124">
        <f>def_sl!D110</f>
        <v>501.58818882093198</v>
      </c>
      <c r="E40" s="124">
        <f>def_pro_homicidios_sl!D914</f>
        <v>0</v>
      </c>
      <c r="F40" s="96">
        <f t="shared" si="11"/>
        <v>1</v>
      </c>
      <c r="G40" s="126">
        <f>lt_sl!G91</f>
        <v>90934</v>
      </c>
      <c r="H40" s="127">
        <f>1-lt_sl!E91</f>
        <v>0.95541600000000004</v>
      </c>
      <c r="I40" s="100">
        <f t="shared" si="12"/>
        <v>4.4583999999999957E-2</v>
      </c>
      <c r="J40" s="129" t="str">
        <f>lt_sl!F91</f>
        <v>2.5</v>
      </c>
      <c r="K40" s="172">
        <f>lt_sl!K91</f>
        <v>24.44</v>
      </c>
      <c r="L40" s="100">
        <f t="shared" si="13"/>
        <v>0.95541600000000004</v>
      </c>
      <c r="M40" s="99">
        <f t="shared" si="14"/>
        <v>4.4583999999999957E-2</v>
      </c>
      <c r="N40" s="97">
        <f t="shared" si="19"/>
        <v>91131.859234022617</v>
      </c>
      <c r="O40" s="98">
        <f t="shared" si="15"/>
        <v>4063.0228120896604</v>
      </c>
      <c r="P40" s="100">
        <f t="shared" si="21"/>
        <v>2.6404835978115613</v>
      </c>
      <c r="Q40" s="97">
        <f t="shared" si="16"/>
        <v>446072.52720252174</v>
      </c>
      <c r="R40" s="97">
        <f t="shared" si="20"/>
        <v>2232002.5308902338</v>
      </c>
      <c r="S40" s="96">
        <f t="shared" si="17"/>
        <v>24.492011352018498</v>
      </c>
      <c r="T40" s="95">
        <f t="shared" si="18"/>
        <v>5.2011352018496382E-2</v>
      </c>
    </row>
    <row r="41" spans="2:23" ht="14.4" x14ac:dyDescent="0.3">
      <c r="B41" s="102">
        <v>65</v>
      </c>
      <c r="C41" s="101">
        <v>5</v>
      </c>
      <c r="D41" s="124">
        <f>def_sl!D111</f>
        <v>570.60223809566696</v>
      </c>
      <c r="E41" s="124">
        <f>def_pro_homicidios_sl!D915</f>
        <v>0</v>
      </c>
      <c r="F41" s="96">
        <f t="shared" si="11"/>
        <v>1</v>
      </c>
      <c r="G41" s="126">
        <f>lt_sl!G92</f>
        <v>86880</v>
      </c>
      <c r="H41" s="127">
        <f>1-lt_sl!E92</f>
        <v>0.93403800000000003</v>
      </c>
      <c r="I41" s="100">
        <f t="shared" si="12"/>
        <v>6.5961999999999965E-2</v>
      </c>
      <c r="J41" s="129" t="str">
        <f>lt_sl!F92</f>
        <v>2.5</v>
      </c>
      <c r="K41" s="172">
        <f>lt_sl!K92</f>
        <v>20.46</v>
      </c>
      <c r="L41" s="100">
        <f t="shared" si="13"/>
        <v>0.93403800000000003</v>
      </c>
      <c r="M41" s="99">
        <f t="shared" si="14"/>
        <v>6.5961999999999965E-2</v>
      </c>
      <c r="N41" s="97">
        <f t="shared" si="19"/>
        <v>87068.836421932952</v>
      </c>
      <c r="O41" s="98">
        <f t="shared" si="15"/>
        <v>5743.2345880635385</v>
      </c>
      <c r="P41" s="100">
        <f t="shared" si="21"/>
        <v>2.6499496075335283</v>
      </c>
      <c r="Q41" s="97">
        <f t="shared" si="16"/>
        <v>421847.29141195904</v>
      </c>
      <c r="R41" s="97">
        <f t="shared" si="20"/>
        <v>1785930.0036877119</v>
      </c>
      <c r="S41" s="96">
        <f t="shared" si="17"/>
        <v>20.511701741747746</v>
      </c>
      <c r="T41" s="95">
        <f t="shared" si="18"/>
        <v>5.1701741747745444E-2</v>
      </c>
    </row>
    <row r="42" spans="2:23" ht="14.4" x14ac:dyDescent="0.3">
      <c r="B42" s="102">
        <v>70</v>
      </c>
      <c r="C42" s="101">
        <v>5</v>
      </c>
      <c r="D42" s="124">
        <f>def_sl!D112</f>
        <v>689.61781078573597</v>
      </c>
      <c r="E42" s="124">
        <f>def_pro_homicidios_sl!D916</f>
        <v>1.0204081632653099</v>
      </c>
      <c r="F42" s="96">
        <f t="shared" si="11"/>
        <v>0.99852032800298085</v>
      </c>
      <c r="G42" s="126">
        <f>lt_sl!G93</f>
        <v>81149</v>
      </c>
      <c r="H42" s="127">
        <f>1-lt_sl!E93</f>
        <v>0.89906900000000001</v>
      </c>
      <c r="I42" s="100">
        <f t="shared" si="12"/>
        <v>0.10093099999999999</v>
      </c>
      <c r="J42" s="129" t="str">
        <f>lt_sl!F93</f>
        <v>2.5</v>
      </c>
      <c r="K42" s="172">
        <f>lt_sl!K93</f>
        <v>16.73</v>
      </c>
      <c r="L42" s="100">
        <f t="shared" si="13"/>
        <v>0.89921055196604871</v>
      </c>
      <c r="M42" s="99">
        <f t="shared" si="14"/>
        <v>0.10078944803395129</v>
      </c>
      <c r="N42" s="97">
        <f t="shared" si="19"/>
        <v>81325.601833869412</v>
      </c>
      <c r="O42" s="98">
        <f t="shared" si="15"/>
        <v>8196.7625198645947</v>
      </c>
      <c r="P42" s="100">
        <f t="shared" si="21"/>
        <v>2.642388046535407</v>
      </c>
      <c r="Q42" s="97">
        <f t="shared" si="16"/>
        <v>387303.22387280373</v>
      </c>
      <c r="R42" s="97">
        <f t="shared" si="20"/>
        <v>1364082.7122757528</v>
      </c>
      <c r="S42" s="96">
        <f t="shared" si="17"/>
        <v>16.773103198944391</v>
      </c>
      <c r="T42" s="95">
        <f t="shared" si="18"/>
        <v>4.3103198944390186E-2</v>
      </c>
    </row>
    <row r="43" spans="2:23" ht="14.4" x14ac:dyDescent="0.3">
      <c r="B43" s="102">
        <v>75</v>
      </c>
      <c r="C43" s="101">
        <v>5</v>
      </c>
      <c r="D43" s="124">
        <f>def_sl!D113</f>
        <v>781.63321420743398</v>
      </c>
      <c r="E43" s="124">
        <f>def_pro_homicidios_sl!D917</f>
        <v>1.0204081632653099</v>
      </c>
      <c r="F43" s="96">
        <f t="shared" si="11"/>
        <v>0.99869451790850527</v>
      </c>
      <c r="G43" s="126">
        <f>lt_sl!G94</f>
        <v>72958</v>
      </c>
      <c r="H43" s="127">
        <f>1-lt_sl!E94</f>
        <v>0.84467099999999995</v>
      </c>
      <c r="I43" s="100">
        <f t="shared" si="12"/>
        <v>0.15532900000000005</v>
      </c>
      <c r="J43" s="129" t="str">
        <f>lt_sl!F94</f>
        <v>2.5</v>
      </c>
      <c r="K43" s="172">
        <f>lt_sl!K94</f>
        <v>13.33</v>
      </c>
      <c r="L43" s="100">
        <f t="shared" si="13"/>
        <v>0.84485716566189306</v>
      </c>
      <c r="M43" s="99">
        <f t="shared" si="14"/>
        <v>0.15514283433810694</v>
      </c>
      <c r="N43" s="97">
        <f t="shared" si="19"/>
        <v>73128.839314004814</v>
      </c>
      <c r="O43" s="98">
        <f t="shared" si="15"/>
        <v>11345.415403030691</v>
      </c>
      <c r="P43" s="100">
        <f>(((-5/24)*O42)+((2.5)*O43)+((5/24)*O44))/O43</f>
        <v>2.627600042584894</v>
      </c>
      <c r="Q43" s="97">
        <f t="shared" si="16"/>
        <v>338728.33355101739</v>
      </c>
      <c r="R43" s="97">
        <f t="shared" si="20"/>
        <v>976779.48840294895</v>
      </c>
      <c r="S43" s="96">
        <f t="shared" si="17"/>
        <v>13.356966930772646</v>
      </c>
      <c r="T43" s="95">
        <f t="shared" si="18"/>
        <v>2.6966930772646336E-2</v>
      </c>
    </row>
    <row r="44" spans="2:23" ht="14.4" x14ac:dyDescent="0.3">
      <c r="B44" s="102">
        <v>80</v>
      </c>
      <c r="C44" s="101">
        <v>5</v>
      </c>
      <c r="D44" s="124">
        <f>def_sl!D114</f>
        <v>946.16029714668298</v>
      </c>
      <c r="E44" s="124">
        <f>def_pro_homicidios_sl!D918</f>
        <v>2.0408163265306101</v>
      </c>
      <c r="F44" s="96">
        <f t="shared" si="11"/>
        <v>0.99784305436120602</v>
      </c>
      <c r="G44" s="126">
        <f>lt_sl!G95</f>
        <v>61626</v>
      </c>
      <c r="H44" s="127">
        <f>1-lt_sl!E95</f>
        <v>0.75440099999999999</v>
      </c>
      <c r="I44" s="100">
        <f t="shared" si="12"/>
        <v>0.24559900000000001</v>
      </c>
      <c r="J44" s="129" t="str">
        <f>lt_sl!F95</f>
        <v>2.5</v>
      </c>
      <c r="K44" s="172">
        <f>lt_sl!K95</f>
        <v>10.32</v>
      </c>
      <c r="L44" s="100">
        <f t="shared" si="13"/>
        <v>0.75485973573066212</v>
      </c>
      <c r="M44" s="99">
        <f t="shared" si="14"/>
        <v>0.24514026426933788</v>
      </c>
      <c r="N44" s="97">
        <f t="shared" si="19"/>
        <v>61783.423910974125</v>
      </c>
      <c r="O44" s="98">
        <f t="shared" si="15"/>
        <v>15145.604865000725</v>
      </c>
      <c r="P44" s="98">
        <f>C44+(F44*(I44/M44)*(J44-C44))</f>
        <v>2.5007241564486731</v>
      </c>
      <c r="Q44" s="97">
        <f t="shared" si="16"/>
        <v>271064.07517980086</v>
      </c>
      <c r="R44" s="97">
        <f t="shared" si="20"/>
        <v>638051.15485193161</v>
      </c>
      <c r="S44" s="96">
        <f t="shared" si="17"/>
        <v>10.327222327000227</v>
      </c>
      <c r="T44" s="95">
        <f t="shared" si="18"/>
        <v>7.2223270002265139E-3</v>
      </c>
    </row>
    <row r="45" spans="2:23" ht="14.4" x14ac:dyDescent="0.3">
      <c r="B45" s="94">
        <v>85</v>
      </c>
      <c r="C45" s="93">
        <v>5</v>
      </c>
      <c r="D45" s="125">
        <f>def_sl!D115</f>
        <v>2063.3461538172901</v>
      </c>
      <c r="E45" s="125">
        <f>def_pro_homicidios_sl!D919</f>
        <v>0</v>
      </c>
      <c r="F45" s="88">
        <f t="shared" si="11"/>
        <v>1</v>
      </c>
      <c r="G45" s="128">
        <f>lt_sl!G96</f>
        <v>46491</v>
      </c>
      <c r="H45" s="127">
        <f>1-lt_sl!E96</f>
        <v>0</v>
      </c>
      <c r="I45" s="92">
        <f t="shared" si="12"/>
        <v>1</v>
      </c>
      <c r="J45" s="130" t="str">
        <f>lt_sl!F96</f>
        <v>NA</v>
      </c>
      <c r="K45" s="172">
        <f>lt_sl!K96</f>
        <v>7.87</v>
      </c>
      <c r="L45" s="92">
        <f t="shared" si="13"/>
        <v>0</v>
      </c>
      <c r="M45" s="91">
        <f t="shared" si="14"/>
        <v>1</v>
      </c>
      <c r="N45" s="89">
        <f t="shared" si="19"/>
        <v>46637.819045973396</v>
      </c>
      <c r="O45" s="90">
        <f t="shared" si="15"/>
        <v>46637.819045973396</v>
      </c>
      <c r="P45" s="92">
        <f>K45/F45</f>
        <v>7.87</v>
      </c>
      <c r="Q45" s="131">
        <f>N45/lt_sl!D96</f>
        <v>366987.07967213076</v>
      </c>
      <c r="R45" s="89">
        <f>Q45</f>
        <v>366987.07967213076</v>
      </c>
      <c r="S45" s="88">
        <f t="shared" si="17"/>
        <v>7.8688730986835367</v>
      </c>
      <c r="T45" s="87">
        <f t="shared" si="18"/>
        <v>-1.1269013164634245E-3</v>
      </c>
    </row>
    <row r="51" ht="26.4" customHeight="1" x14ac:dyDescent="0.3"/>
  </sheetData>
  <mergeCells count="4">
    <mergeCell ref="B2:T2"/>
    <mergeCell ref="V5:W7"/>
    <mergeCell ref="B24:T24"/>
    <mergeCell ref="V28:W3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62A0-C6D5-4F38-BCF6-237394D17227}">
  <sheetPr>
    <tabColor rgb="FF00B050"/>
  </sheetPr>
  <dimension ref="A1:K115"/>
  <sheetViews>
    <sheetView workbookViewId="0">
      <selection activeCell="F21" sqref="F21:F39"/>
    </sheetView>
  </sheetViews>
  <sheetFormatPr baseColWidth="10" defaultRowHeight="14.4" x14ac:dyDescent="0.3"/>
  <cols>
    <col min="1" max="1" width="6.88671875" bestFit="1" customWidth="1"/>
    <col min="2" max="2" width="5.88671875" bestFit="1" customWidth="1"/>
    <col min="3" max="3" width="6.21875" bestFit="1" customWidth="1"/>
    <col min="4" max="5" width="9" bestFit="1" customWidth="1"/>
    <col min="6" max="6" width="5.109375" bestFit="1" customWidth="1"/>
    <col min="7" max="7" width="7" bestFit="1" customWidth="1"/>
    <col min="8" max="8" width="6" bestFit="1" customWidth="1"/>
    <col min="9" max="9" width="7" bestFit="1" customWidth="1"/>
    <col min="10" max="10" width="8" bestFit="1" customWidth="1"/>
    <col min="11" max="11" width="6" bestFit="1" customWidth="1"/>
  </cols>
  <sheetData>
    <row r="1" spans="1:11" x14ac:dyDescent="0.3">
      <c r="A1" t="s">
        <v>116</v>
      </c>
      <c r="B1" t="s">
        <v>117</v>
      </c>
      <c r="C1" t="s">
        <v>118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134</v>
      </c>
      <c r="J1" t="s">
        <v>127</v>
      </c>
      <c r="K1" t="s">
        <v>128</v>
      </c>
    </row>
    <row r="2" spans="1:11" hidden="1" x14ac:dyDescent="0.3">
      <c r="A2">
        <v>2010</v>
      </c>
      <c r="B2" s="171" t="s">
        <v>129</v>
      </c>
      <c r="C2">
        <v>0</v>
      </c>
      <c r="D2">
        <v>1.9599999999999999E-3</v>
      </c>
      <c r="E2">
        <v>1.9559999999999998E-3</v>
      </c>
      <c r="F2" s="171" t="s">
        <v>135</v>
      </c>
      <c r="G2">
        <v>100000</v>
      </c>
      <c r="H2">
        <v>196</v>
      </c>
      <c r="I2">
        <v>99814</v>
      </c>
      <c r="J2">
        <v>7595102</v>
      </c>
      <c r="K2">
        <v>75.95</v>
      </c>
    </row>
    <row r="3" spans="1:11" hidden="1" x14ac:dyDescent="0.3">
      <c r="A3">
        <v>2010</v>
      </c>
      <c r="B3" s="171" t="s">
        <v>129</v>
      </c>
      <c r="C3">
        <v>1</v>
      </c>
      <c r="D3">
        <v>6.0700000000000001E-4</v>
      </c>
      <c r="E3">
        <v>2.4260000000000002E-3</v>
      </c>
      <c r="F3" s="171" t="s">
        <v>136</v>
      </c>
      <c r="G3">
        <v>99804</v>
      </c>
      <c r="H3">
        <v>242</v>
      </c>
      <c r="I3">
        <v>398648</v>
      </c>
      <c r="J3">
        <v>7495288</v>
      </c>
      <c r="K3">
        <v>75.099999999999994</v>
      </c>
    </row>
    <row r="4" spans="1:11" hidden="1" x14ac:dyDescent="0.3">
      <c r="A4">
        <v>2010</v>
      </c>
      <c r="B4" s="171" t="s">
        <v>129</v>
      </c>
      <c r="C4">
        <v>5</v>
      </c>
      <c r="D4">
        <v>2.2599999999999999E-4</v>
      </c>
      <c r="E4">
        <v>1.1299999999999999E-3</v>
      </c>
      <c r="F4" s="171" t="s">
        <v>137</v>
      </c>
      <c r="G4">
        <v>99562</v>
      </c>
      <c r="H4">
        <v>113</v>
      </c>
      <c r="I4">
        <v>497530</v>
      </c>
      <c r="J4">
        <v>7096641</v>
      </c>
      <c r="K4">
        <v>71.28</v>
      </c>
    </row>
    <row r="5" spans="1:11" hidden="1" x14ac:dyDescent="0.3">
      <c r="A5">
        <v>2010</v>
      </c>
      <c r="B5" s="171" t="s">
        <v>129</v>
      </c>
      <c r="C5">
        <v>10</v>
      </c>
      <c r="D5">
        <v>3.7599999999999998E-4</v>
      </c>
      <c r="E5">
        <v>1.879E-3</v>
      </c>
      <c r="F5" s="171" t="s">
        <v>137</v>
      </c>
      <c r="G5">
        <v>99450</v>
      </c>
      <c r="H5">
        <v>187</v>
      </c>
      <c r="I5">
        <v>496782</v>
      </c>
      <c r="J5">
        <v>6599110</v>
      </c>
      <c r="K5">
        <v>66.36</v>
      </c>
    </row>
    <row r="6" spans="1:11" hidden="1" x14ac:dyDescent="0.3">
      <c r="A6">
        <v>2010</v>
      </c>
      <c r="B6" s="171" t="s">
        <v>129</v>
      </c>
      <c r="C6">
        <v>15</v>
      </c>
      <c r="D6">
        <v>1.0460000000000001E-3</v>
      </c>
      <c r="E6">
        <v>5.2160000000000002E-3</v>
      </c>
      <c r="F6" s="171" t="s">
        <v>137</v>
      </c>
      <c r="G6">
        <v>99263</v>
      </c>
      <c r="H6">
        <v>518</v>
      </c>
      <c r="I6">
        <v>495020</v>
      </c>
      <c r="J6">
        <v>6102329</v>
      </c>
      <c r="K6">
        <v>61.48</v>
      </c>
    </row>
    <row r="7" spans="1:11" hidden="1" x14ac:dyDescent="0.3">
      <c r="A7">
        <v>2010</v>
      </c>
      <c r="B7" s="171" t="s">
        <v>129</v>
      </c>
      <c r="C7">
        <v>20</v>
      </c>
      <c r="D7">
        <v>1.699E-3</v>
      </c>
      <c r="E7">
        <v>8.4609999999999998E-3</v>
      </c>
      <c r="F7" s="171" t="s">
        <v>137</v>
      </c>
      <c r="G7">
        <v>98745</v>
      </c>
      <c r="H7">
        <v>836</v>
      </c>
      <c r="I7">
        <v>491637</v>
      </c>
      <c r="J7">
        <v>5607309</v>
      </c>
      <c r="K7">
        <v>56.79</v>
      </c>
    </row>
    <row r="8" spans="1:11" hidden="1" x14ac:dyDescent="0.3">
      <c r="A8">
        <v>2010</v>
      </c>
      <c r="B8" s="171" t="s">
        <v>129</v>
      </c>
      <c r="C8">
        <v>25</v>
      </c>
      <c r="D8">
        <v>2.1259999999999999E-3</v>
      </c>
      <c r="E8">
        <v>1.0574E-2</v>
      </c>
      <c r="F8" s="171" t="s">
        <v>137</v>
      </c>
      <c r="G8">
        <v>97910</v>
      </c>
      <c r="H8">
        <v>1035</v>
      </c>
      <c r="I8">
        <v>486960</v>
      </c>
      <c r="J8">
        <v>5115672</v>
      </c>
      <c r="K8">
        <v>52.25</v>
      </c>
    </row>
    <row r="9" spans="1:11" hidden="1" x14ac:dyDescent="0.3">
      <c r="A9">
        <v>2010</v>
      </c>
      <c r="B9" s="171" t="s">
        <v>129</v>
      </c>
      <c r="C9">
        <v>30</v>
      </c>
      <c r="D9">
        <v>2.1649999999999998E-3</v>
      </c>
      <c r="E9">
        <v>1.0766E-2</v>
      </c>
      <c r="F9" s="171" t="s">
        <v>137</v>
      </c>
      <c r="G9">
        <v>96874</v>
      </c>
      <c r="H9">
        <v>1043</v>
      </c>
      <c r="I9">
        <v>481764</v>
      </c>
      <c r="J9">
        <v>4628712</v>
      </c>
      <c r="K9">
        <v>47.78</v>
      </c>
    </row>
    <row r="10" spans="1:11" hidden="1" x14ac:dyDescent="0.3">
      <c r="A10">
        <v>2010</v>
      </c>
      <c r="B10" s="171" t="s">
        <v>129</v>
      </c>
      <c r="C10">
        <v>35</v>
      </c>
      <c r="D10">
        <v>2.7269999999999998E-3</v>
      </c>
      <c r="E10">
        <v>1.3542999999999999E-2</v>
      </c>
      <c r="F10" s="171" t="s">
        <v>137</v>
      </c>
      <c r="G10">
        <v>95831</v>
      </c>
      <c r="H10">
        <v>1298</v>
      </c>
      <c r="I10">
        <v>475912</v>
      </c>
      <c r="J10">
        <v>4146948</v>
      </c>
      <c r="K10">
        <v>43.27</v>
      </c>
    </row>
    <row r="11" spans="1:11" hidden="1" x14ac:dyDescent="0.3">
      <c r="A11">
        <v>2010</v>
      </c>
      <c r="B11" s="171" t="s">
        <v>129</v>
      </c>
      <c r="C11">
        <v>40</v>
      </c>
      <c r="D11">
        <v>3.4529999999999999E-3</v>
      </c>
      <c r="E11">
        <v>1.7114999999999998E-2</v>
      </c>
      <c r="F11" s="171" t="s">
        <v>137</v>
      </c>
      <c r="G11">
        <v>94534</v>
      </c>
      <c r="H11">
        <v>1618</v>
      </c>
      <c r="I11">
        <v>468623</v>
      </c>
      <c r="J11">
        <v>3671036</v>
      </c>
      <c r="K11">
        <v>38.83</v>
      </c>
    </row>
    <row r="12" spans="1:11" hidden="1" x14ac:dyDescent="0.3">
      <c r="A12">
        <v>2010</v>
      </c>
      <c r="B12" s="171" t="s">
        <v>129</v>
      </c>
      <c r="C12">
        <v>45</v>
      </c>
      <c r="D12">
        <v>4.5649999999999996E-3</v>
      </c>
      <c r="E12">
        <v>2.2568999999999999E-2</v>
      </c>
      <c r="F12" s="171" t="s">
        <v>137</v>
      </c>
      <c r="G12">
        <v>92916</v>
      </c>
      <c r="H12">
        <v>2097</v>
      </c>
      <c r="I12">
        <v>459335</v>
      </c>
      <c r="J12">
        <v>3202413</v>
      </c>
      <c r="K12">
        <v>34.47</v>
      </c>
    </row>
    <row r="13" spans="1:11" hidden="1" x14ac:dyDescent="0.3">
      <c r="A13">
        <v>2010</v>
      </c>
      <c r="B13" s="171" t="s">
        <v>129</v>
      </c>
      <c r="C13">
        <v>50</v>
      </c>
      <c r="D13">
        <v>6.6080000000000002E-3</v>
      </c>
      <c r="E13">
        <v>3.2501000000000002E-2</v>
      </c>
      <c r="F13" s="171" t="s">
        <v>137</v>
      </c>
      <c r="G13">
        <v>90819</v>
      </c>
      <c r="H13">
        <v>2952</v>
      </c>
      <c r="I13">
        <v>446714</v>
      </c>
      <c r="J13">
        <v>2743078</v>
      </c>
      <c r="K13">
        <v>30.2</v>
      </c>
    </row>
    <row r="14" spans="1:11" hidden="1" x14ac:dyDescent="0.3">
      <c r="A14">
        <v>2010</v>
      </c>
      <c r="B14" s="171" t="s">
        <v>129</v>
      </c>
      <c r="C14">
        <v>55</v>
      </c>
      <c r="D14">
        <v>9.3710000000000009E-3</v>
      </c>
      <c r="E14">
        <v>4.5782000000000003E-2</v>
      </c>
      <c r="F14" s="171" t="s">
        <v>137</v>
      </c>
      <c r="G14">
        <v>87867</v>
      </c>
      <c r="H14">
        <v>4023</v>
      </c>
      <c r="I14">
        <v>429277</v>
      </c>
      <c r="J14">
        <v>2296364</v>
      </c>
      <c r="K14">
        <v>26.13</v>
      </c>
    </row>
    <row r="15" spans="1:11" hidden="1" x14ac:dyDescent="0.3">
      <c r="A15">
        <v>2010</v>
      </c>
      <c r="B15" s="171" t="s">
        <v>129</v>
      </c>
      <c r="C15">
        <v>60</v>
      </c>
      <c r="D15">
        <v>1.3280999999999999E-2</v>
      </c>
      <c r="E15">
        <v>6.4269000000000007E-2</v>
      </c>
      <c r="F15" s="171" t="s">
        <v>137</v>
      </c>
      <c r="G15">
        <v>83844</v>
      </c>
      <c r="H15">
        <v>5389</v>
      </c>
      <c r="I15">
        <v>405749</v>
      </c>
      <c r="J15">
        <v>1867087</v>
      </c>
      <c r="K15">
        <v>22.27</v>
      </c>
    </row>
    <row r="16" spans="1:11" hidden="1" x14ac:dyDescent="0.3">
      <c r="A16">
        <v>2010</v>
      </c>
      <c r="B16" s="171" t="s">
        <v>129</v>
      </c>
      <c r="C16">
        <v>65</v>
      </c>
      <c r="D16">
        <v>1.9196999999999999E-2</v>
      </c>
      <c r="E16">
        <v>9.1592000000000007E-2</v>
      </c>
      <c r="F16" s="171" t="s">
        <v>137</v>
      </c>
      <c r="G16">
        <v>78456</v>
      </c>
      <c r="H16">
        <v>7186</v>
      </c>
      <c r="I16">
        <v>374313</v>
      </c>
      <c r="J16">
        <v>1461338</v>
      </c>
      <c r="K16">
        <v>18.63</v>
      </c>
    </row>
    <row r="17" spans="1:11" hidden="1" x14ac:dyDescent="0.3">
      <c r="A17">
        <v>2010</v>
      </c>
      <c r="B17" s="171" t="s">
        <v>129</v>
      </c>
      <c r="C17">
        <v>70</v>
      </c>
      <c r="D17">
        <v>2.6800000000000001E-2</v>
      </c>
      <c r="E17">
        <v>0.125586</v>
      </c>
      <c r="F17" s="171" t="s">
        <v>137</v>
      </c>
      <c r="G17">
        <v>71270</v>
      </c>
      <c r="H17">
        <v>8950</v>
      </c>
      <c r="I17">
        <v>333972</v>
      </c>
      <c r="J17">
        <v>1087025</v>
      </c>
      <c r="K17">
        <v>15.25</v>
      </c>
    </row>
    <row r="18" spans="1:11" hidden="1" x14ac:dyDescent="0.3">
      <c r="A18">
        <v>2010</v>
      </c>
      <c r="B18" s="171" t="s">
        <v>129</v>
      </c>
      <c r="C18">
        <v>75</v>
      </c>
      <c r="D18">
        <v>4.5231E-2</v>
      </c>
      <c r="E18">
        <v>0.203179</v>
      </c>
      <c r="F18" s="171" t="s">
        <v>137</v>
      </c>
      <c r="G18">
        <v>62319</v>
      </c>
      <c r="H18">
        <v>12662</v>
      </c>
      <c r="I18">
        <v>279941</v>
      </c>
      <c r="J18">
        <v>753053</v>
      </c>
      <c r="K18">
        <v>12.08</v>
      </c>
    </row>
    <row r="19" spans="1:11" hidden="1" x14ac:dyDescent="0.3">
      <c r="A19">
        <v>2010</v>
      </c>
      <c r="B19" s="171" t="s">
        <v>129</v>
      </c>
      <c r="C19">
        <v>80</v>
      </c>
      <c r="D19">
        <v>6.8812999999999999E-2</v>
      </c>
      <c r="E19">
        <v>0.29356399999999999</v>
      </c>
      <c r="F19" s="171" t="s">
        <v>137</v>
      </c>
      <c r="G19">
        <v>49657</v>
      </c>
      <c r="H19">
        <v>14578</v>
      </c>
      <c r="I19">
        <v>211842</v>
      </c>
      <c r="J19">
        <v>473112</v>
      </c>
      <c r="K19">
        <v>9.5299999999999994</v>
      </c>
    </row>
    <row r="20" spans="1:11" hidden="1" x14ac:dyDescent="0.3">
      <c r="A20">
        <v>2010</v>
      </c>
      <c r="B20" s="171" t="s">
        <v>129</v>
      </c>
      <c r="C20">
        <v>85</v>
      </c>
      <c r="D20">
        <v>0.134266</v>
      </c>
      <c r="E20">
        <v>1</v>
      </c>
      <c r="F20" s="171" t="s">
        <v>130</v>
      </c>
      <c r="G20">
        <v>35080</v>
      </c>
      <c r="H20">
        <v>35080</v>
      </c>
      <c r="I20">
        <v>261270</v>
      </c>
      <c r="J20">
        <v>261270</v>
      </c>
      <c r="K20">
        <v>7.45</v>
      </c>
    </row>
    <row r="21" spans="1:11" x14ac:dyDescent="0.3">
      <c r="A21">
        <v>2019</v>
      </c>
      <c r="B21" s="171" t="s">
        <v>129</v>
      </c>
      <c r="C21">
        <v>0</v>
      </c>
      <c r="D21">
        <v>1.8159999999999999E-3</v>
      </c>
      <c r="E21">
        <v>1.8129999999999999E-3</v>
      </c>
      <c r="F21" s="171" t="s">
        <v>135</v>
      </c>
      <c r="G21">
        <v>100000</v>
      </c>
      <c r="H21">
        <v>181</v>
      </c>
      <c r="I21">
        <v>99828</v>
      </c>
      <c r="J21">
        <v>7544074</v>
      </c>
      <c r="K21">
        <v>75.44</v>
      </c>
    </row>
    <row r="22" spans="1:11" x14ac:dyDescent="0.3">
      <c r="A22">
        <v>2019</v>
      </c>
      <c r="B22" s="171" t="s">
        <v>129</v>
      </c>
      <c r="C22">
        <v>1</v>
      </c>
      <c r="D22">
        <v>5.9599999999999996E-4</v>
      </c>
      <c r="E22">
        <v>2.382E-3</v>
      </c>
      <c r="F22" s="171" t="s">
        <v>136</v>
      </c>
      <c r="G22">
        <v>99819</v>
      </c>
      <c r="H22">
        <v>238</v>
      </c>
      <c r="I22">
        <v>398715</v>
      </c>
      <c r="J22">
        <v>7444246</v>
      </c>
      <c r="K22">
        <v>74.58</v>
      </c>
    </row>
    <row r="23" spans="1:11" x14ac:dyDescent="0.3">
      <c r="A23">
        <v>2019</v>
      </c>
      <c r="B23" s="171" t="s">
        <v>129</v>
      </c>
      <c r="C23">
        <v>5</v>
      </c>
      <c r="D23">
        <v>2.5799999999999998E-4</v>
      </c>
      <c r="E23">
        <v>1.291E-3</v>
      </c>
      <c r="F23" s="171" t="s">
        <v>137</v>
      </c>
      <c r="G23">
        <v>99581</v>
      </c>
      <c r="H23">
        <v>129</v>
      </c>
      <c r="I23">
        <v>497583</v>
      </c>
      <c r="J23">
        <v>7045531</v>
      </c>
      <c r="K23">
        <v>70.75</v>
      </c>
    </row>
    <row r="24" spans="1:11" x14ac:dyDescent="0.3">
      <c r="A24">
        <v>2019</v>
      </c>
      <c r="B24" s="171" t="s">
        <v>129</v>
      </c>
      <c r="C24">
        <v>10</v>
      </c>
      <c r="D24">
        <v>3.2600000000000001E-4</v>
      </c>
      <c r="E24">
        <v>1.629E-3</v>
      </c>
      <c r="F24" s="171" t="s">
        <v>137</v>
      </c>
      <c r="G24">
        <v>99452</v>
      </c>
      <c r="H24">
        <v>162</v>
      </c>
      <c r="I24">
        <v>496857</v>
      </c>
      <c r="J24">
        <v>6547948</v>
      </c>
      <c r="K24">
        <v>65.84</v>
      </c>
    </row>
    <row r="25" spans="1:11" x14ac:dyDescent="0.3">
      <c r="A25">
        <v>2019</v>
      </c>
      <c r="B25" s="171" t="s">
        <v>129</v>
      </c>
      <c r="C25">
        <v>15</v>
      </c>
      <c r="D25">
        <v>1.284E-3</v>
      </c>
      <c r="E25">
        <v>6.4009999999999996E-3</v>
      </c>
      <c r="F25" s="171" t="s">
        <v>137</v>
      </c>
      <c r="G25">
        <v>99290</v>
      </c>
      <c r="H25">
        <v>636</v>
      </c>
      <c r="I25">
        <v>494863</v>
      </c>
      <c r="J25">
        <v>6051091</v>
      </c>
      <c r="K25">
        <v>60.94</v>
      </c>
    </row>
    <row r="26" spans="1:11" x14ac:dyDescent="0.3">
      <c r="A26">
        <v>2019</v>
      </c>
      <c r="B26" s="171" t="s">
        <v>129</v>
      </c>
      <c r="C26">
        <v>20</v>
      </c>
      <c r="D26">
        <v>2.1800000000000001E-3</v>
      </c>
      <c r="E26">
        <v>1.0843E-2</v>
      </c>
      <c r="F26" s="171" t="s">
        <v>137</v>
      </c>
      <c r="G26">
        <v>98655</v>
      </c>
      <c r="H26">
        <v>1070</v>
      </c>
      <c r="I26">
        <v>490600</v>
      </c>
      <c r="J26">
        <v>5556228</v>
      </c>
      <c r="K26">
        <v>56.32</v>
      </c>
    </row>
    <row r="27" spans="1:11" x14ac:dyDescent="0.3">
      <c r="A27">
        <v>2019</v>
      </c>
      <c r="B27" s="171" t="s">
        <v>129</v>
      </c>
      <c r="C27">
        <v>25</v>
      </c>
      <c r="D27">
        <v>2.5709999999999999E-3</v>
      </c>
      <c r="E27">
        <v>1.2774000000000001E-2</v>
      </c>
      <c r="F27" s="171" t="s">
        <v>137</v>
      </c>
      <c r="G27">
        <v>97585</v>
      </c>
      <c r="H27">
        <v>1247</v>
      </c>
      <c r="I27">
        <v>484809</v>
      </c>
      <c r="J27">
        <v>5065629</v>
      </c>
      <c r="K27">
        <v>51.91</v>
      </c>
    </row>
    <row r="28" spans="1:11" x14ac:dyDescent="0.3">
      <c r="A28">
        <v>2019</v>
      </c>
      <c r="B28" s="171" t="s">
        <v>129</v>
      </c>
      <c r="C28">
        <v>30</v>
      </c>
      <c r="D28">
        <v>2.4529999999999999E-3</v>
      </c>
      <c r="E28">
        <v>1.2192E-2</v>
      </c>
      <c r="F28" s="171" t="s">
        <v>137</v>
      </c>
      <c r="G28">
        <v>96339</v>
      </c>
      <c r="H28">
        <v>1175</v>
      </c>
      <c r="I28">
        <v>478757</v>
      </c>
      <c r="J28">
        <v>4580820</v>
      </c>
      <c r="K28">
        <v>47.55</v>
      </c>
    </row>
    <row r="29" spans="1:11" x14ac:dyDescent="0.3">
      <c r="A29">
        <v>2019</v>
      </c>
      <c r="B29" s="171" t="s">
        <v>129</v>
      </c>
      <c r="C29">
        <v>35</v>
      </c>
      <c r="D29">
        <v>2.8570000000000002E-3</v>
      </c>
      <c r="E29">
        <v>1.4186000000000001E-2</v>
      </c>
      <c r="F29" s="171" t="s">
        <v>137</v>
      </c>
      <c r="G29">
        <v>95164</v>
      </c>
      <c r="H29">
        <v>1350</v>
      </c>
      <c r="I29">
        <v>472445</v>
      </c>
      <c r="J29">
        <v>4102063</v>
      </c>
      <c r="K29">
        <v>43.11</v>
      </c>
    </row>
    <row r="30" spans="1:11" x14ac:dyDescent="0.3">
      <c r="A30">
        <v>2019</v>
      </c>
      <c r="B30" s="171" t="s">
        <v>129</v>
      </c>
      <c r="C30">
        <v>40</v>
      </c>
      <c r="D30">
        <v>3.754E-3</v>
      </c>
      <c r="E30">
        <v>1.8593999999999999E-2</v>
      </c>
      <c r="F30" s="171" t="s">
        <v>137</v>
      </c>
      <c r="G30">
        <v>93814</v>
      </c>
      <c r="H30">
        <v>1744</v>
      </c>
      <c r="I30">
        <v>464709</v>
      </c>
      <c r="J30">
        <v>3629618</v>
      </c>
      <c r="K30">
        <v>38.69</v>
      </c>
    </row>
    <row r="31" spans="1:11" x14ac:dyDescent="0.3">
      <c r="A31">
        <v>2019</v>
      </c>
      <c r="B31" s="171" t="s">
        <v>129</v>
      </c>
      <c r="C31">
        <v>45</v>
      </c>
      <c r="D31">
        <v>4.8719999999999996E-3</v>
      </c>
      <c r="E31">
        <v>2.4067000000000002E-2</v>
      </c>
      <c r="F31" s="171" t="s">
        <v>137</v>
      </c>
      <c r="G31">
        <v>92070</v>
      </c>
      <c r="H31">
        <v>2216</v>
      </c>
      <c r="I31">
        <v>454809</v>
      </c>
      <c r="J31">
        <v>3164908</v>
      </c>
      <c r="K31">
        <v>34.380000000000003</v>
      </c>
    </row>
    <row r="32" spans="1:11" x14ac:dyDescent="0.3">
      <c r="A32">
        <v>2019</v>
      </c>
      <c r="B32" s="171" t="s">
        <v>129</v>
      </c>
      <c r="C32">
        <v>50</v>
      </c>
      <c r="D32">
        <v>7.0899999999999999E-3</v>
      </c>
      <c r="E32">
        <v>3.4833999999999997E-2</v>
      </c>
      <c r="F32" s="171" t="s">
        <v>137</v>
      </c>
      <c r="G32">
        <v>89854</v>
      </c>
      <c r="H32">
        <v>3130</v>
      </c>
      <c r="I32">
        <v>441444</v>
      </c>
      <c r="J32">
        <v>2710099</v>
      </c>
      <c r="K32">
        <v>30.16</v>
      </c>
    </row>
    <row r="33" spans="1:11" x14ac:dyDescent="0.3">
      <c r="A33">
        <v>2019</v>
      </c>
      <c r="B33" s="171" t="s">
        <v>129</v>
      </c>
      <c r="C33">
        <v>55</v>
      </c>
      <c r="D33">
        <v>1.0073E-2</v>
      </c>
      <c r="E33">
        <v>4.9126000000000003E-2</v>
      </c>
      <c r="F33" s="171" t="s">
        <v>137</v>
      </c>
      <c r="G33">
        <v>86724</v>
      </c>
      <c r="H33">
        <v>4260</v>
      </c>
      <c r="I33">
        <v>422969</v>
      </c>
      <c r="J33">
        <v>2268655</v>
      </c>
      <c r="K33">
        <v>26.16</v>
      </c>
    </row>
    <row r="34" spans="1:11" x14ac:dyDescent="0.3">
      <c r="A34">
        <v>2019</v>
      </c>
      <c r="B34" s="171" t="s">
        <v>129</v>
      </c>
      <c r="C34">
        <v>60</v>
      </c>
      <c r="D34">
        <v>1.3062000000000001E-2</v>
      </c>
      <c r="E34">
        <v>6.3246999999999998E-2</v>
      </c>
      <c r="F34" s="171" t="s">
        <v>137</v>
      </c>
      <c r="G34">
        <v>82464</v>
      </c>
      <c r="H34">
        <v>5216</v>
      </c>
      <c r="I34">
        <v>399279</v>
      </c>
      <c r="J34">
        <v>1845686</v>
      </c>
      <c r="K34">
        <v>22.38</v>
      </c>
    </row>
    <row r="35" spans="1:11" x14ac:dyDescent="0.3">
      <c r="A35">
        <v>2019</v>
      </c>
      <c r="B35" s="171" t="s">
        <v>129</v>
      </c>
      <c r="C35">
        <v>65</v>
      </c>
      <c r="D35">
        <v>1.8551000000000002E-2</v>
      </c>
      <c r="E35">
        <v>8.8641999999999999E-2</v>
      </c>
      <c r="F35" s="171" t="s">
        <v>137</v>
      </c>
      <c r="G35">
        <v>77248</v>
      </c>
      <c r="H35">
        <v>6847</v>
      </c>
      <c r="I35">
        <v>369121</v>
      </c>
      <c r="J35">
        <v>1446407</v>
      </c>
      <c r="K35">
        <v>18.72</v>
      </c>
    </row>
    <row r="36" spans="1:11" x14ac:dyDescent="0.3">
      <c r="A36">
        <v>2019</v>
      </c>
      <c r="B36" s="171" t="s">
        <v>129</v>
      </c>
      <c r="C36">
        <v>70</v>
      </c>
      <c r="D36">
        <v>2.7581999999999999E-2</v>
      </c>
      <c r="E36">
        <v>0.12901499999999999</v>
      </c>
      <c r="F36" s="171" t="s">
        <v>137</v>
      </c>
      <c r="G36">
        <v>70401</v>
      </c>
      <c r="H36">
        <v>9083</v>
      </c>
      <c r="I36">
        <v>329296</v>
      </c>
      <c r="J36">
        <v>1077286</v>
      </c>
      <c r="K36">
        <v>15.3</v>
      </c>
    </row>
    <row r="37" spans="1:11" x14ac:dyDescent="0.3">
      <c r="A37">
        <v>2019</v>
      </c>
      <c r="B37" s="171" t="s">
        <v>129</v>
      </c>
      <c r="C37">
        <v>75</v>
      </c>
      <c r="D37">
        <v>4.1583000000000002E-2</v>
      </c>
      <c r="E37">
        <v>0.188335</v>
      </c>
      <c r="F37" s="171" t="s">
        <v>137</v>
      </c>
      <c r="G37">
        <v>61318</v>
      </c>
      <c r="H37">
        <v>11548</v>
      </c>
      <c r="I37">
        <v>277719</v>
      </c>
      <c r="J37">
        <v>747990</v>
      </c>
      <c r="K37">
        <v>12.2</v>
      </c>
    </row>
    <row r="38" spans="1:11" x14ac:dyDescent="0.3">
      <c r="A38">
        <v>2019</v>
      </c>
      <c r="B38" s="171" t="s">
        <v>129</v>
      </c>
      <c r="C38">
        <v>80</v>
      </c>
      <c r="D38">
        <v>6.8672999999999998E-2</v>
      </c>
      <c r="E38">
        <v>0.29305300000000001</v>
      </c>
      <c r="F38" s="171" t="s">
        <v>137</v>
      </c>
      <c r="G38">
        <v>49770</v>
      </c>
      <c r="H38">
        <v>14585</v>
      </c>
      <c r="I38">
        <v>212385</v>
      </c>
      <c r="J38">
        <v>470271</v>
      </c>
      <c r="K38">
        <v>9.4499999999999993</v>
      </c>
    </row>
    <row r="39" spans="1:11" x14ac:dyDescent="0.3">
      <c r="A39">
        <v>2019</v>
      </c>
      <c r="B39" s="171" t="s">
        <v>129</v>
      </c>
      <c r="C39">
        <v>85</v>
      </c>
      <c r="D39">
        <v>0.136434</v>
      </c>
      <c r="E39">
        <v>1</v>
      </c>
      <c r="F39" s="171" t="s">
        <v>130</v>
      </c>
      <c r="G39">
        <v>35184</v>
      </c>
      <c r="H39">
        <v>35184</v>
      </c>
      <c r="I39">
        <v>257886</v>
      </c>
      <c r="J39">
        <v>257886</v>
      </c>
      <c r="K39">
        <v>7.33</v>
      </c>
    </row>
    <row r="40" spans="1:11" hidden="1" x14ac:dyDescent="0.3">
      <c r="A40">
        <v>2021</v>
      </c>
      <c r="B40" s="171" t="s">
        <v>129</v>
      </c>
      <c r="C40">
        <v>0</v>
      </c>
      <c r="D40">
        <v>1.7149999999999999E-3</v>
      </c>
      <c r="E40">
        <v>1.712E-3</v>
      </c>
      <c r="F40" s="171" t="s">
        <v>135</v>
      </c>
      <c r="G40">
        <v>100000</v>
      </c>
      <c r="H40">
        <v>171</v>
      </c>
      <c r="I40">
        <v>99837</v>
      </c>
      <c r="J40">
        <v>6962659</v>
      </c>
      <c r="K40">
        <v>69.63</v>
      </c>
    </row>
    <row r="41" spans="1:11" hidden="1" x14ac:dyDescent="0.3">
      <c r="A41">
        <v>2021</v>
      </c>
      <c r="B41" s="171" t="s">
        <v>129</v>
      </c>
      <c r="C41">
        <v>1</v>
      </c>
      <c r="D41">
        <v>4.8299999999999998E-4</v>
      </c>
      <c r="E41">
        <v>1.9289999999999999E-3</v>
      </c>
      <c r="F41" s="171" t="s">
        <v>136</v>
      </c>
      <c r="G41">
        <v>99829</v>
      </c>
      <c r="H41">
        <v>193</v>
      </c>
      <c r="I41">
        <v>398862</v>
      </c>
      <c r="J41">
        <v>6862822</v>
      </c>
      <c r="K41">
        <v>68.75</v>
      </c>
    </row>
    <row r="42" spans="1:11" hidden="1" x14ac:dyDescent="0.3">
      <c r="A42">
        <v>2021</v>
      </c>
      <c r="B42" s="171" t="s">
        <v>129</v>
      </c>
      <c r="C42">
        <v>5</v>
      </c>
      <c r="D42">
        <v>2.2699999999999999E-4</v>
      </c>
      <c r="E42">
        <v>1.1329999999999999E-3</v>
      </c>
      <c r="F42" s="171" t="s">
        <v>137</v>
      </c>
      <c r="G42">
        <v>99636</v>
      </c>
      <c r="H42">
        <v>113</v>
      </c>
      <c r="I42">
        <v>497899</v>
      </c>
      <c r="J42">
        <v>6463960</v>
      </c>
      <c r="K42">
        <v>64.88</v>
      </c>
    </row>
    <row r="43" spans="1:11" hidden="1" x14ac:dyDescent="0.3">
      <c r="A43">
        <v>2021</v>
      </c>
      <c r="B43" s="171" t="s">
        <v>129</v>
      </c>
      <c r="C43">
        <v>10</v>
      </c>
      <c r="D43">
        <v>3.8200000000000002E-4</v>
      </c>
      <c r="E43">
        <v>1.9059999999999999E-3</v>
      </c>
      <c r="F43" s="171" t="s">
        <v>137</v>
      </c>
      <c r="G43">
        <v>99523</v>
      </c>
      <c r="H43">
        <v>190</v>
      </c>
      <c r="I43">
        <v>497142</v>
      </c>
      <c r="J43">
        <v>5966061</v>
      </c>
      <c r="K43">
        <v>59.95</v>
      </c>
    </row>
    <row r="44" spans="1:11" hidden="1" x14ac:dyDescent="0.3">
      <c r="A44">
        <v>2021</v>
      </c>
      <c r="B44" s="171" t="s">
        <v>129</v>
      </c>
      <c r="C44">
        <v>15</v>
      </c>
      <c r="D44">
        <v>1.524E-3</v>
      </c>
      <c r="E44">
        <v>7.5890000000000003E-3</v>
      </c>
      <c r="F44" s="171" t="s">
        <v>137</v>
      </c>
      <c r="G44">
        <v>99334</v>
      </c>
      <c r="H44">
        <v>754</v>
      </c>
      <c r="I44">
        <v>494783</v>
      </c>
      <c r="J44">
        <v>5468919</v>
      </c>
      <c r="K44">
        <v>55.06</v>
      </c>
    </row>
    <row r="45" spans="1:11" hidden="1" x14ac:dyDescent="0.3">
      <c r="A45">
        <v>2021</v>
      </c>
      <c r="B45" s="171" t="s">
        <v>129</v>
      </c>
      <c r="C45">
        <v>20</v>
      </c>
      <c r="D45">
        <v>2.372E-3</v>
      </c>
      <c r="E45">
        <v>1.1788E-2</v>
      </c>
      <c r="F45" s="171" t="s">
        <v>137</v>
      </c>
      <c r="G45">
        <v>98580</v>
      </c>
      <c r="H45">
        <v>1162</v>
      </c>
      <c r="I45">
        <v>489994</v>
      </c>
      <c r="J45">
        <v>4974136</v>
      </c>
      <c r="K45">
        <v>50.46</v>
      </c>
    </row>
    <row r="46" spans="1:11" hidden="1" x14ac:dyDescent="0.3">
      <c r="A46">
        <v>2021</v>
      </c>
      <c r="B46" s="171" t="s">
        <v>129</v>
      </c>
      <c r="C46">
        <v>25</v>
      </c>
      <c r="D46">
        <v>3.241E-3</v>
      </c>
      <c r="E46">
        <v>1.6074000000000001E-2</v>
      </c>
      <c r="F46" s="171" t="s">
        <v>137</v>
      </c>
      <c r="G46">
        <v>97418</v>
      </c>
      <c r="H46">
        <v>1566</v>
      </c>
      <c r="I46">
        <v>483174</v>
      </c>
      <c r="J46">
        <v>4484142</v>
      </c>
      <c r="K46">
        <v>46.03</v>
      </c>
    </row>
    <row r="47" spans="1:11" hidden="1" x14ac:dyDescent="0.3">
      <c r="A47">
        <v>2021</v>
      </c>
      <c r="B47" s="171" t="s">
        <v>129</v>
      </c>
      <c r="C47">
        <v>30</v>
      </c>
      <c r="D47">
        <v>3.6350000000000002E-3</v>
      </c>
      <c r="E47">
        <v>1.8010000000000002E-2</v>
      </c>
      <c r="F47" s="171" t="s">
        <v>137</v>
      </c>
      <c r="G47">
        <v>95852</v>
      </c>
      <c r="H47">
        <v>1726</v>
      </c>
      <c r="I47">
        <v>474943</v>
      </c>
      <c r="J47">
        <v>4000968</v>
      </c>
      <c r="K47">
        <v>41.74</v>
      </c>
    </row>
    <row r="48" spans="1:11" hidden="1" x14ac:dyDescent="0.3">
      <c r="A48">
        <v>2021</v>
      </c>
      <c r="B48" s="171" t="s">
        <v>129</v>
      </c>
      <c r="C48">
        <v>35</v>
      </c>
      <c r="D48">
        <v>4.5370000000000002E-3</v>
      </c>
      <c r="E48">
        <v>2.2429999999999999E-2</v>
      </c>
      <c r="F48" s="171" t="s">
        <v>137</v>
      </c>
      <c r="G48">
        <v>94125</v>
      </c>
      <c r="H48">
        <v>2111</v>
      </c>
      <c r="I48">
        <v>465349</v>
      </c>
      <c r="J48">
        <v>3526025</v>
      </c>
      <c r="K48">
        <v>37.46</v>
      </c>
    </row>
    <row r="49" spans="1:11" hidden="1" x14ac:dyDescent="0.3">
      <c r="A49">
        <v>2021</v>
      </c>
      <c r="B49" s="171" t="s">
        <v>129</v>
      </c>
      <c r="C49">
        <v>40</v>
      </c>
      <c r="D49">
        <v>5.8440000000000002E-3</v>
      </c>
      <c r="E49">
        <v>2.8797E-2</v>
      </c>
      <c r="F49" s="171" t="s">
        <v>137</v>
      </c>
      <c r="G49">
        <v>92014</v>
      </c>
      <c r="H49">
        <v>2650</v>
      </c>
      <c r="I49">
        <v>453447</v>
      </c>
      <c r="J49">
        <v>3060676</v>
      </c>
      <c r="K49">
        <v>33.26</v>
      </c>
    </row>
    <row r="50" spans="1:11" hidden="1" x14ac:dyDescent="0.3">
      <c r="A50">
        <v>2021</v>
      </c>
      <c r="B50" s="171" t="s">
        <v>129</v>
      </c>
      <c r="C50">
        <v>45</v>
      </c>
      <c r="D50">
        <v>8.7240000000000009E-3</v>
      </c>
      <c r="E50">
        <v>4.2689999999999999E-2</v>
      </c>
      <c r="F50" s="171" t="s">
        <v>137</v>
      </c>
      <c r="G50">
        <v>89364</v>
      </c>
      <c r="H50">
        <v>3815</v>
      </c>
      <c r="I50">
        <v>437285</v>
      </c>
      <c r="J50">
        <v>2607229</v>
      </c>
      <c r="K50">
        <v>29.18</v>
      </c>
    </row>
    <row r="51" spans="1:11" hidden="1" x14ac:dyDescent="0.3">
      <c r="A51">
        <v>2021</v>
      </c>
      <c r="B51" s="171" t="s">
        <v>129</v>
      </c>
      <c r="C51">
        <v>50</v>
      </c>
      <c r="D51">
        <v>1.0604000000000001E-2</v>
      </c>
      <c r="E51">
        <v>5.1652999999999998E-2</v>
      </c>
      <c r="F51" s="171" t="s">
        <v>137</v>
      </c>
      <c r="G51">
        <v>85549</v>
      </c>
      <c r="H51">
        <v>4419</v>
      </c>
      <c r="I51">
        <v>416700</v>
      </c>
      <c r="J51">
        <v>2169944</v>
      </c>
      <c r="K51">
        <v>25.36</v>
      </c>
    </row>
    <row r="52" spans="1:11" hidden="1" x14ac:dyDescent="0.3">
      <c r="A52">
        <v>2021</v>
      </c>
      <c r="B52" s="171" t="s">
        <v>129</v>
      </c>
      <c r="C52">
        <v>55</v>
      </c>
      <c r="D52">
        <v>1.6785999999999999E-2</v>
      </c>
      <c r="E52">
        <v>8.0550999999999998E-2</v>
      </c>
      <c r="F52" s="171" t="s">
        <v>137</v>
      </c>
      <c r="G52">
        <v>81131</v>
      </c>
      <c r="H52">
        <v>6535</v>
      </c>
      <c r="I52">
        <v>389315</v>
      </c>
      <c r="J52">
        <v>1753244</v>
      </c>
      <c r="K52">
        <v>21.61</v>
      </c>
    </row>
    <row r="53" spans="1:11" hidden="1" x14ac:dyDescent="0.3">
      <c r="A53">
        <v>2021</v>
      </c>
      <c r="B53" s="171" t="s">
        <v>129</v>
      </c>
      <c r="C53">
        <v>60</v>
      </c>
      <c r="D53">
        <v>2.3111E-2</v>
      </c>
      <c r="E53">
        <v>0.109241</v>
      </c>
      <c r="F53" s="171" t="s">
        <v>137</v>
      </c>
      <c r="G53">
        <v>74595</v>
      </c>
      <c r="H53">
        <v>8149</v>
      </c>
      <c r="I53">
        <v>352605</v>
      </c>
      <c r="J53">
        <v>1363929</v>
      </c>
      <c r="K53">
        <v>18.28</v>
      </c>
    </row>
    <row r="54" spans="1:11" hidden="1" x14ac:dyDescent="0.3">
      <c r="A54">
        <v>2021</v>
      </c>
      <c r="B54" s="171" t="s">
        <v>129</v>
      </c>
      <c r="C54">
        <v>65</v>
      </c>
      <c r="D54">
        <v>3.2079999999999997E-2</v>
      </c>
      <c r="E54">
        <v>0.14849200000000001</v>
      </c>
      <c r="F54" s="171" t="s">
        <v>137</v>
      </c>
      <c r="G54">
        <v>66447</v>
      </c>
      <c r="H54">
        <v>9867</v>
      </c>
      <c r="I54">
        <v>307566</v>
      </c>
      <c r="J54">
        <v>1011324</v>
      </c>
      <c r="K54">
        <v>15.22</v>
      </c>
    </row>
    <row r="55" spans="1:11" hidden="1" x14ac:dyDescent="0.3">
      <c r="A55">
        <v>2021</v>
      </c>
      <c r="B55" s="171" t="s">
        <v>129</v>
      </c>
      <c r="C55">
        <v>70</v>
      </c>
      <c r="D55">
        <v>4.4373000000000003E-2</v>
      </c>
      <c r="E55">
        <v>0.199709</v>
      </c>
      <c r="F55" s="171" t="s">
        <v>137</v>
      </c>
      <c r="G55">
        <v>56580</v>
      </c>
      <c r="H55">
        <v>11299</v>
      </c>
      <c r="I55">
        <v>254650</v>
      </c>
      <c r="J55">
        <v>703758</v>
      </c>
      <c r="K55">
        <v>12.44</v>
      </c>
    </row>
    <row r="56" spans="1:11" hidden="1" x14ac:dyDescent="0.3">
      <c r="A56">
        <v>2021</v>
      </c>
      <c r="B56" s="171" t="s">
        <v>129</v>
      </c>
      <c r="C56">
        <v>75</v>
      </c>
      <c r="D56">
        <v>6.3879000000000005E-2</v>
      </c>
      <c r="E56">
        <v>0.27541100000000002</v>
      </c>
      <c r="F56" s="171" t="s">
        <v>137</v>
      </c>
      <c r="G56">
        <v>45280</v>
      </c>
      <c r="H56">
        <v>12471</v>
      </c>
      <c r="I56">
        <v>195225</v>
      </c>
      <c r="J56">
        <v>449108</v>
      </c>
      <c r="K56">
        <v>9.92</v>
      </c>
    </row>
    <row r="57" spans="1:11" hidden="1" x14ac:dyDescent="0.3">
      <c r="A57">
        <v>2021</v>
      </c>
      <c r="B57" s="171" t="s">
        <v>129</v>
      </c>
      <c r="C57">
        <v>80</v>
      </c>
      <c r="D57">
        <v>9.4944000000000001E-2</v>
      </c>
      <c r="E57">
        <v>0.383656</v>
      </c>
      <c r="F57" s="171" t="s">
        <v>137</v>
      </c>
      <c r="G57">
        <v>32810</v>
      </c>
      <c r="H57">
        <v>12588</v>
      </c>
      <c r="I57">
        <v>132579</v>
      </c>
      <c r="J57">
        <v>253883</v>
      </c>
      <c r="K57">
        <v>7.74</v>
      </c>
    </row>
    <row r="58" spans="1:11" hidden="1" x14ac:dyDescent="0.3">
      <c r="A58">
        <v>2021</v>
      </c>
      <c r="B58" s="171" t="s">
        <v>129</v>
      </c>
      <c r="C58">
        <v>85</v>
      </c>
      <c r="D58">
        <v>0.16670499999999999</v>
      </c>
      <c r="E58">
        <v>1</v>
      </c>
      <c r="F58" s="171" t="s">
        <v>130</v>
      </c>
      <c r="G58">
        <v>20222</v>
      </c>
      <c r="H58">
        <v>20222</v>
      </c>
      <c r="I58">
        <v>121304</v>
      </c>
      <c r="J58">
        <v>121304</v>
      </c>
      <c r="K58">
        <v>6</v>
      </c>
    </row>
    <row r="59" spans="1:11" hidden="1" x14ac:dyDescent="0.3">
      <c r="A59">
        <v>2010</v>
      </c>
      <c r="B59" s="171" t="s">
        <v>131</v>
      </c>
      <c r="C59">
        <v>0</v>
      </c>
      <c r="D59">
        <v>1.668E-3</v>
      </c>
      <c r="E59">
        <v>1.6659999999999999E-3</v>
      </c>
      <c r="F59" s="171" t="s">
        <v>138</v>
      </c>
      <c r="G59">
        <v>100000</v>
      </c>
      <c r="H59">
        <v>167</v>
      </c>
      <c r="I59">
        <v>99843</v>
      </c>
      <c r="J59">
        <v>8025915</v>
      </c>
      <c r="K59">
        <v>80.260000000000005</v>
      </c>
    </row>
    <row r="60" spans="1:11" hidden="1" x14ac:dyDescent="0.3">
      <c r="A60">
        <v>2010</v>
      </c>
      <c r="B60" s="171" t="s">
        <v>131</v>
      </c>
      <c r="C60">
        <v>1</v>
      </c>
      <c r="D60">
        <v>5.6499999999999996E-4</v>
      </c>
      <c r="E60">
        <v>2.258E-3</v>
      </c>
      <c r="F60" s="171" t="s">
        <v>139</v>
      </c>
      <c r="G60">
        <v>99833</v>
      </c>
      <c r="H60">
        <v>225</v>
      </c>
      <c r="I60">
        <v>398774</v>
      </c>
      <c r="J60">
        <v>7926072</v>
      </c>
      <c r="K60">
        <v>79.39</v>
      </c>
    </row>
    <row r="61" spans="1:11" hidden="1" x14ac:dyDescent="0.3">
      <c r="A61">
        <v>2010</v>
      </c>
      <c r="B61" s="171" t="s">
        <v>131</v>
      </c>
      <c r="C61">
        <v>5</v>
      </c>
      <c r="D61">
        <v>1.8799999999999999E-4</v>
      </c>
      <c r="E61">
        <v>9.41E-4</v>
      </c>
      <c r="F61" s="171" t="s">
        <v>137</v>
      </c>
      <c r="G61">
        <v>99608</v>
      </c>
      <c r="H61">
        <v>94</v>
      </c>
      <c r="I61">
        <v>497805</v>
      </c>
      <c r="J61">
        <v>7527298</v>
      </c>
      <c r="K61">
        <v>75.569999999999993</v>
      </c>
    </row>
    <row r="62" spans="1:11" hidden="1" x14ac:dyDescent="0.3">
      <c r="A62">
        <v>2010</v>
      </c>
      <c r="B62" s="171" t="s">
        <v>131</v>
      </c>
      <c r="C62">
        <v>10</v>
      </c>
      <c r="D62">
        <v>2.7E-4</v>
      </c>
      <c r="E62">
        <v>1.351E-3</v>
      </c>
      <c r="F62" s="171" t="s">
        <v>137</v>
      </c>
      <c r="G62">
        <v>99514</v>
      </c>
      <c r="H62">
        <v>134</v>
      </c>
      <c r="I62">
        <v>497235</v>
      </c>
      <c r="J62">
        <v>7029492</v>
      </c>
      <c r="K62">
        <v>70.64</v>
      </c>
    </row>
    <row r="63" spans="1:11" hidden="1" x14ac:dyDescent="0.3">
      <c r="A63">
        <v>2010</v>
      </c>
      <c r="B63" s="171" t="s">
        <v>131</v>
      </c>
      <c r="C63">
        <v>15</v>
      </c>
      <c r="D63">
        <v>4.7899999999999999E-4</v>
      </c>
      <c r="E63">
        <v>2.392E-3</v>
      </c>
      <c r="F63" s="171" t="s">
        <v>137</v>
      </c>
      <c r="G63">
        <v>99380</v>
      </c>
      <c r="H63">
        <v>238</v>
      </c>
      <c r="I63">
        <v>496304</v>
      </c>
      <c r="J63">
        <v>6532257</v>
      </c>
      <c r="K63">
        <v>65.73</v>
      </c>
    </row>
    <row r="64" spans="1:11" hidden="1" x14ac:dyDescent="0.3">
      <c r="A64">
        <v>2010</v>
      </c>
      <c r="B64" s="171" t="s">
        <v>131</v>
      </c>
      <c r="C64">
        <v>20</v>
      </c>
      <c r="D64">
        <v>5.6700000000000001E-4</v>
      </c>
      <c r="E64">
        <v>2.8319999999999999E-3</v>
      </c>
      <c r="F64" s="171" t="s">
        <v>137</v>
      </c>
      <c r="G64">
        <v>99142</v>
      </c>
      <c r="H64">
        <v>281</v>
      </c>
      <c r="I64">
        <v>495008</v>
      </c>
      <c r="J64">
        <v>6035953</v>
      </c>
      <c r="K64">
        <v>60.88</v>
      </c>
    </row>
    <row r="65" spans="1:11" hidden="1" x14ac:dyDescent="0.3">
      <c r="A65">
        <v>2010</v>
      </c>
      <c r="B65" s="171" t="s">
        <v>131</v>
      </c>
      <c r="C65">
        <v>25</v>
      </c>
      <c r="D65">
        <v>5.9599999999999996E-4</v>
      </c>
      <c r="E65">
        <v>2.9750000000000002E-3</v>
      </c>
      <c r="F65" s="171" t="s">
        <v>137</v>
      </c>
      <c r="G65">
        <v>98861</v>
      </c>
      <c r="H65">
        <v>294</v>
      </c>
      <c r="I65">
        <v>493571</v>
      </c>
      <c r="J65">
        <v>5540945</v>
      </c>
      <c r="K65">
        <v>56.05</v>
      </c>
    </row>
    <row r="66" spans="1:11" hidden="1" x14ac:dyDescent="0.3">
      <c r="A66">
        <v>2010</v>
      </c>
      <c r="B66" s="171" t="s">
        <v>131</v>
      </c>
      <c r="C66">
        <v>30</v>
      </c>
      <c r="D66">
        <v>5.8799999999999998E-4</v>
      </c>
      <c r="E66">
        <v>2.9380000000000001E-3</v>
      </c>
      <c r="F66" s="171" t="s">
        <v>137</v>
      </c>
      <c r="G66">
        <v>98567</v>
      </c>
      <c r="H66">
        <v>290</v>
      </c>
      <c r="I66">
        <v>492112</v>
      </c>
      <c r="J66">
        <v>5047374</v>
      </c>
      <c r="K66">
        <v>51.21</v>
      </c>
    </row>
    <row r="67" spans="1:11" hidden="1" x14ac:dyDescent="0.3">
      <c r="A67">
        <v>2010</v>
      </c>
      <c r="B67" s="171" t="s">
        <v>131</v>
      </c>
      <c r="C67">
        <v>35</v>
      </c>
      <c r="D67">
        <v>1.1180000000000001E-3</v>
      </c>
      <c r="E67">
        <v>5.5760000000000002E-3</v>
      </c>
      <c r="F67" s="171" t="s">
        <v>137</v>
      </c>
      <c r="G67">
        <v>98278</v>
      </c>
      <c r="H67">
        <v>548</v>
      </c>
      <c r="I67">
        <v>490018</v>
      </c>
      <c r="J67">
        <v>4555262</v>
      </c>
      <c r="K67">
        <v>46.35</v>
      </c>
    </row>
    <row r="68" spans="1:11" hidden="1" x14ac:dyDescent="0.3">
      <c r="A68">
        <v>2010</v>
      </c>
      <c r="B68" s="171" t="s">
        <v>131</v>
      </c>
      <c r="C68">
        <v>40</v>
      </c>
      <c r="D68">
        <v>1.5690000000000001E-3</v>
      </c>
      <c r="E68">
        <v>7.8169999999999993E-3</v>
      </c>
      <c r="F68" s="171" t="s">
        <v>137</v>
      </c>
      <c r="G68">
        <v>97730</v>
      </c>
      <c r="H68">
        <v>764</v>
      </c>
      <c r="I68">
        <v>486738</v>
      </c>
      <c r="J68">
        <v>4065244</v>
      </c>
      <c r="K68">
        <v>41.6</v>
      </c>
    </row>
    <row r="69" spans="1:11" hidden="1" x14ac:dyDescent="0.3">
      <c r="A69">
        <v>2010</v>
      </c>
      <c r="B69" s="171" t="s">
        <v>131</v>
      </c>
      <c r="C69">
        <v>45</v>
      </c>
      <c r="D69">
        <v>2.5839999999999999E-3</v>
      </c>
      <c r="E69">
        <v>1.2836999999999999E-2</v>
      </c>
      <c r="F69" s="171" t="s">
        <v>137</v>
      </c>
      <c r="G69">
        <v>96966</v>
      </c>
      <c r="H69">
        <v>1245</v>
      </c>
      <c r="I69">
        <v>481717</v>
      </c>
      <c r="J69">
        <v>3578506</v>
      </c>
      <c r="K69">
        <v>36.9</v>
      </c>
    </row>
    <row r="70" spans="1:11" hidden="1" x14ac:dyDescent="0.3">
      <c r="A70">
        <v>2010</v>
      </c>
      <c r="B70" s="171" t="s">
        <v>131</v>
      </c>
      <c r="C70">
        <v>50</v>
      </c>
      <c r="D70">
        <v>3.9950000000000003E-3</v>
      </c>
      <c r="E70">
        <v>1.9779000000000001E-2</v>
      </c>
      <c r="F70" s="171" t="s">
        <v>137</v>
      </c>
      <c r="G70">
        <v>95721</v>
      </c>
      <c r="H70">
        <v>1893</v>
      </c>
      <c r="I70">
        <v>473871</v>
      </c>
      <c r="J70">
        <v>3096789</v>
      </c>
      <c r="K70">
        <v>32.35</v>
      </c>
    </row>
    <row r="71" spans="1:11" hidden="1" x14ac:dyDescent="0.3">
      <c r="A71">
        <v>2010</v>
      </c>
      <c r="B71" s="171" t="s">
        <v>131</v>
      </c>
      <c r="C71">
        <v>55</v>
      </c>
      <c r="D71">
        <v>6.4660000000000004E-3</v>
      </c>
      <c r="E71">
        <v>3.1815999999999997E-2</v>
      </c>
      <c r="F71" s="171" t="s">
        <v>137</v>
      </c>
      <c r="G71">
        <v>93828</v>
      </c>
      <c r="H71">
        <v>2985</v>
      </c>
      <c r="I71">
        <v>461675</v>
      </c>
      <c r="J71">
        <v>2622918</v>
      </c>
      <c r="K71">
        <v>27.95</v>
      </c>
    </row>
    <row r="72" spans="1:11" hidden="1" x14ac:dyDescent="0.3">
      <c r="A72">
        <v>2010</v>
      </c>
      <c r="B72" s="171" t="s">
        <v>131</v>
      </c>
      <c r="C72">
        <v>60</v>
      </c>
      <c r="D72">
        <v>9.6600000000000002E-3</v>
      </c>
      <c r="E72">
        <v>4.7162000000000003E-2</v>
      </c>
      <c r="F72" s="171" t="s">
        <v>137</v>
      </c>
      <c r="G72">
        <v>90842</v>
      </c>
      <c r="H72">
        <v>4284</v>
      </c>
      <c r="I72">
        <v>443501</v>
      </c>
      <c r="J72">
        <v>2161243</v>
      </c>
      <c r="K72">
        <v>23.79</v>
      </c>
    </row>
    <row r="73" spans="1:11" hidden="1" x14ac:dyDescent="0.3">
      <c r="A73">
        <v>2010</v>
      </c>
      <c r="B73" s="171" t="s">
        <v>131</v>
      </c>
      <c r="C73">
        <v>65</v>
      </c>
      <c r="D73">
        <v>1.5467E-2</v>
      </c>
      <c r="E73">
        <v>7.4456999999999995E-2</v>
      </c>
      <c r="F73" s="171" t="s">
        <v>137</v>
      </c>
      <c r="G73">
        <v>86558</v>
      </c>
      <c r="H73">
        <v>6445</v>
      </c>
      <c r="I73">
        <v>416678</v>
      </c>
      <c r="J73">
        <v>1717741</v>
      </c>
      <c r="K73">
        <v>19.84</v>
      </c>
    </row>
    <row r="74" spans="1:11" hidden="1" x14ac:dyDescent="0.3">
      <c r="A74">
        <v>2010</v>
      </c>
      <c r="B74" s="171" t="s">
        <v>131</v>
      </c>
      <c r="C74">
        <v>70</v>
      </c>
      <c r="D74">
        <v>2.2259999999999999E-2</v>
      </c>
      <c r="E74">
        <v>0.105431</v>
      </c>
      <c r="F74" s="171" t="s">
        <v>137</v>
      </c>
      <c r="G74">
        <v>80113</v>
      </c>
      <c r="H74">
        <v>8446</v>
      </c>
      <c r="I74">
        <v>379450</v>
      </c>
      <c r="J74">
        <v>1301063</v>
      </c>
      <c r="K74">
        <v>16.239999999999998</v>
      </c>
    </row>
    <row r="75" spans="1:11" hidden="1" x14ac:dyDescent="0.3">
      <c r="A75">
        <v>2010</v>
      </c>
      <c r="B75" s="171" t="s">
        <v>131</v>
      </c>
      <c r="C75">
        <v>75</v>
      </c>
      <c r="D75">
        <v>3.7655000000000001E-2</v>
      </c>
      <c r="E75">
        <v>0.17207600000000001</v>
      </c>
      <c r="F75" s="171" t="s">
        <v>137</v>
      </c>
      <c r="G75">
        <v>71667</v>
      </c>
      <c r="H75">
        <v>12332</v>
      </c>
      <c r="I75">
        <v>327504</v>
      </c>
      <c r="J75">
        <v>921612</v>
      </c>
      <c r="K75">
        <v>12.86</v>
      </c>
    </row>
    <row r="76" spans="1:11" hidden="1" x14ac:dyDescent="0.3">
      <c r="A76">
        <v>2010</v>
      </c>
      <c r="B76" s="171" t="s">
        <v>131</v>
      </c>
      <c r="C76">
        <v>80</v>
      </c>
      <c r="D76">
        <v>6.3074000000000005E-2</v>
      </c>
      <c r="E76">
        <v>0.27241399999999999</v>
      </c>
      <c r="F76" s="171" t="s">
        <v>137</v>
      </c>
      <c r="G76">
        <v>59335</v>
      </c>
      <c r="H76">
        <v>16164</v>
      </c>
      <c r="I76">
        <v>256264</v>
      </c>
      <c r="J76">
        <v>594109</v>
      </c>
      <c r="K76">
        <v>10.01</v>
      </c>
    </row>
    <row r="77" spans="1:11" hidden="1" x14ac:dyDescent="0.3">
      <c r="A77">
        <v>2010</v>
      </c>
      <c r="B77" s="171" t="s">
        <v>131</v>
      </c>
      <c r="C77">
        <v>85</v>
      </c>
      <c r="D77">
        <v>0.12778400000000001</v>
      </c>
      <c r="E77">
        <v>1</v>
      </c>
      <c r="F77" s="171" t="s">
        <v>130</v>
      </c>
      <c r="G77">
        <v>43171</v>
      </c>
      <c r="H77">
        <v>43171</v>
      </c>
      <c r="I77">
        <v>337844</v>
      </c>
      <c r="J77">
        <v>337844</v>
      </c>
      <c r="K77">
        <v>7.83</v>
      </c>
    </row>
    <row r="78" spans="1:11" hidden="1" x14ac:dyDescent="0.3">
      <c r="A78">
        <v>2019</v>
      </c>
      <c r="B78" s="171" t="s">
        <v>131</v>
      </c>
      <c r="C78">
        <v>0</v>
      </c>
      <c r="D78">
        <v>1.487E-3</v>
      </c>
      <c r="E78">
        <v>1.485E-3</v>
      </c>
      <c r="F78" s="171" t="s">
        <v>138</v>
      </c>
      <c r="G78">
        <v>100000</v>
      </c>
      <c r="H78">
        <v>148</v>
      </c>
      <c r="I78">
        <v>99860</v>
      </c>
      <c r="J78">
        <v>8089833</v>
      </c>
      <c r="K78">
        <v>80.900000000000006</v>
      </c>
    </row>
    <row r="79" spans="1:11" hidden="1" x14ac:dyDescent="0.3">
      <c r="A79">
        <v>2019</v>
      </c>
      <c r="B79" s="171" t="s">
        <v>131</v>
      </c>
      <c r="C79">
        <v>1</v>
      </c>
      <c r="D79">
        <v>4.6900000000000002E-4</v>
      </c>
      <c r="E79">
        <v>1.874E-3</v>
      </c>
      <c r="F79" s="171" t="s">
        <v>139</v>
      </c>
      <c r="G79">
        <v>99852</v>
      </c>
      <c r="H79">
        <v>187</v>
      </c>
      <c r="I79">
        <v>398942</v>
      </c>
      <c r="J79">
        <v>7989973</v>
      </c>
      <c r="K79">
        <v>80.02</v>
      </c>
    </row>
    <row r="80" spans="1:11" hidden="1" x14ac:dyDescent="0.3">
      <c r="A80">
        <v>2019</v>
      </c>
      <c r="B80" s="171" t="s">
        <v>131</v>
      </c>
      <c r="C80">
        <v>5</v>
      </c>
      <c r="D80">
        <v>1.9900000000000001E-4</v>
      </c>
      <c r="E80">
        <v>9.9400000000000009E-4</v>
      </c>
      <c r="F80" s="171" t="s">
        <v>137</v>
      </c>
      <c r="G80">
        <v>99664</v>
      </c>
      <c r="H80">
        <v>99</v>
      </c>
      <c r="I80">
        <v>498074</v>
      </c>
      <c r="J80">
        <v>7591031</v>
      </c>
      <c r="K80">
        <v>76.17</v>
      </c>
    </row>
    <row r="81" spans="1:11" hidden="1" x14ac:dyDescent="0.3">
      <c r="A81">
        <v>2019</v>
      </c>
      <c r="B81" s="171" t="s">
        <v>131</v>
      </c>
      <c r="C81">
        <v>10</v>
      </c>
      <c r="D81">
        <v>2.6800000000000001E-4</v>
      </c>
      <c r="E81">
        <v>1.338E-3</v>
      </c>
      <c r="F81" s="171" t="s">
        <v>137</v>
      </c>
      <c r="G81">
        <v>99565</v>
      </c>
      <c r="H81">
        <v>133</v>
      </c>
      <c r="I81">
        <v>497494</v>
      </c>
      <c r="J81">
        <v>7092956</v>
      </c>
      <c r="K81">
        <v>71.239999999999995</v>
      </c>
    </row>
    <row r="82" spans="1:11" hidden="1" x14ac:dyDescent="0.3">
      <c r="A82">
        <v>2019</v>
      </c>
      <c r="B82" s="171" t="s">
        <v>131</v>
      </c>
      <c r="C82">
        <v>15</v>
      </c>
      <c r="D82">
        <v>4.4299999999999998E-4</v>
      </c>
      <c r="E82">
        <v>2.2130000000000001E-3</v>
      </c>
      <c r="F82" s="171" t="s">
        <v>137</v>
      </c>
      <c r="G82">
        <v>99432</v>
      </c>
      <c r="H82">
        <v>220</v>
      </c>
      <c r="I82">
        <v>496611</v>
      </c>
      <c r="J82">
        <v>6595463</v>
      </c>
      <c r="K82">
        <v>66.33</v>
      </c>
    </row>
    <row r="83" spans="1:11" hidden="1" x14ac:dyDescent="0.3">
      <c r="A83">
        <v>2019</v>
      </c>
      <c r="B83" s="171" t="s">
        <v>131</v>
      </c>
      <c r="C83">
        <v>20</v>
      </c>
      <c r="D83">
        <v>4.9899999999999999E-4</v>
      </c>
      <c r="E83">
        <v>2.49E-3</v>
      </c>
      <c r="F83" s="171" t="s">
        <v>137</v>
      </c>
      <c r="G83">
        <v>99212</v>
      </c>
      <c r="H83">
        <v>247</v>
      </c>
      <c r="I83">
        <v>495443</v>
      </c>
      <c r="J83">
        <v>6098852</v>
      </c>
      <c r="K83">
        <v>61.47</v>
      </c>
    </row>
    <row r="84" spans="1:11" hidden="1" x14ac:dyDescent="0.3">
      <c r="A84">
        <v>2019</v>
      </c>
      <c r="B84" s="171" t="s">
        <v>131</v>
      </c>
      <c r="C84">
        <v>25</v>
      </c>
      <c r="D84">
        <v>6.4599999999999998E-4</v>
      </c>
      <c r="E84">
        <v>3.2230000000000002E-3</v>
      </c>
      <c r="F84" s="171" t="s">
        <v>137</v>
      </c>
      <c r="G84">
        <v>98965</v>
      </c>
      <c r="H84">
        <v>319</v>
      </c>
      <c r="I84">
        <v>494028</v>
      </c>
      <c r="J84">
        <v>5603409</v>
      </c>
      <c r="K84">
        <v>56.62</v>
      </c>
    </row>
    <row r="85" spans="1:11" hidden="1" x14ac:dyDescent="0.3">
      <c r="A85">
        <v>2019</v>
      </c>
      <c r="B85" s="171" t="s">
        <v>131</v>
      </c>
      <c r="C85">
        <v>30</v>
      </c>
      <c r="D85">
        <v>7.1299999999999998E-4</v>
      </c>
      <c r="E85">
        <v>3.5569999999999998E-3</v>
      </c>
      <c r="F85" s="171" t="s">
        <v>137</v>
      </c>
      <c r="G85">
        <v>98646</v>
      </c>
      <c r="H85">
        <v>351</v>
      </c>
      <c r="I85">
        <v>492353</v>
      </c>
      <c r="J85">
        <v>5109381</v>
      </c>
      <c r="K85">
        <v>51.8</v>
      </c>
    </row>
    <row r="86" spans="1:11" hidden="1" x14ac:dyDescent="0.3">
      <c r="A86">
        <v>2019</v>
      </c>
      <c r="B86" s="171" t="s">
        <v>131</v>
      </c>
      <c r="C86">
        <v>35</v>
      </c>
      <c r="D86">
        <v>1.0790000000000001E-3</v>
      </c>
      <c r="E86">
        <v>5.3790000000000001E-3</v>
      </c>
      <c r="F86" s="171" t="s">
        <v>137</v>
      </c>
      <c r="G86">
        <v>98295</v>
      </c>
      <c r="H86">
        <v>529</v>
      </c>
      <c r="I86">
        <v>490154</v>
      </c>
      <c r="J86">
        <v>4617028</v>
      </c>
      <c r="K86">
        <v>46.97</v>
      </c>
    </row>
    <row r="87" spans="1:11" hidden="1" x14ac:dyDescent="0.3">
      <c r="A87">
        <v>2019</v>
      </c>
      <c r="B87" s="171" t="s">
        <v>131</v>
      </c>
      <c r="C87">
        <v>40</v>
      </c>
      <c r="D87">
        <v>1.756E-3</v>
      </c>
      <c r="E87">
        <v>8.744E-3</v>
      </c>
      <c r="F87" s="171" t="s">
        <v>137</v>
      </c>
      <c r="G87">
        <v>97766</v>
      </c>
      <c r="H87">
        <v>855</v>
      </c>
      <c r="I87">
        <v>486695</v>
      </c>
      <c r="J87">
        <v>4126874</v>
      </c>
      <c r="K87">
        <v>42.21</v>
      </c>
    </row>
    <row r="88" spans="1:11" hidden="1" x14ac:dyDescent="0.3">
      <c r="A88">
        <v>2019</v>
      </c>
      <c r="B88" s="171" t="s">
        <v>131</v>
      </c>
      <c r="C88">
        <v>45</v>
      </c>
      <c r="D88">
        <v>2.5799999999999998E-3</v>
      </c>
      <c r="E88">
        <v>1.2819000000000001E-2</v>
      </c>
      <c r="F88" s="171" t="s">
        <v>137</v>
      </c>
      <c r="G88">
        <v>96912</v>
      </c>
      <c r="H88">
        <v>1242</v>
      </c>
      <c r="I88">
        <v>481452</v>
      </c>
      <c r="J88">
        <v>3640179</v>
      </c>
      <c r="K88">
        <v>37.56</v>
      </c>
    </row>
    <row r="89" spans="1:11" hidden="1" x14ac:dyDescent="0.3">
      <c r="A89">
        <v>2019</v>
      </c>
      <c r="B89" s="171" t="s">
        <v>131</v>
      </c>
      <c r="C89">
        <v>50</v>
      </c>
      <c r="D89">
        <v>3.62E-3</v>
      </c>
      <c r="E89">
        <v>1.7940000000000001E-2</v>
      </c>
      <c r="F89" s="171" t="s">
        <v>137</v>
      </c>
      <c r="G89">
        <v>95669</v>
      </c>
      <c r="H89">
        <v>1716</v>
      </c>
      <c r="I89">
        <v>474056</v>
      </c>
      <c r="J89">
        <v>3158727</v>
      </c>
      <c r="K89">
        <v>33.020000000000003</v>
      </c>
    </row>
    <row r="90" spans="1:11" hidden="1" x14ac:dyDescent="0.3">
      <c r="A90">
        <v>2019</v>
      </c>
      <c r="B90" s="171" t="s">
        <v>131</v>
      </c>
      <c r="C90">
        <v>55</v>
      </c>
      <c r="D90">
        <v>6.5319999999999996E-3</v>
      </c>
      <c r="E90">
        <v>3.2134999999999997E-2</v>
      </c>
      <c r="F90" s="171" t="s">
        <v>137</v>
      </c>
      <c r="G90">
        <v>93953</v>
      </c>
      <c r="H90">
        <v>3019</v>
      </c>
      <c r="I90">
        <v>462217</v>
      </c>
      <c r="J90">
        <v>2684671</v>
      </c>
      <c r="K90">
        <v>28.57</v>
      </c>
    </row>
    <row r="91" spans="1:11" hidden="1" x14ac:dyDescent="0.3">
      <c r="A91">
        <v>2019</v>
      </c>
      <c r="B91" s="171" t="s">
        <v>131</v>
      </c>
      <c r="C91">
        <v>60</v>
      </c>
      <c r="D91">
        <v>9.1199999999999996E-3</v>
      </c>
      <c r="E91">
        <v>4.4583999999999999E-2</v>
      </c>
      <c r="F91" s="171" t="s">
        <v>137</v>
      </c>
      <c r="G91">
        <v>90934</v>
      </c>
      <c r="H91">
        <v>4054</v>
      </c>
      <c r="I91">
        <v>444534</v>
      </c>
      <c r="J91">
        <v>2222454</v>
      </c>
      <c r="K91">
        <v>24.44</v>
      </c>
    </row>
    <row r="92" spans="1:11" hidden="1" x14ac:dyDescent="0.3">
      <c r="A92">
        <v>2019</v>
      </c>
      <c r="B92" s="171" t="s">
        <v>131</v>
      </c>
      <c r="C92">
        <v>65</v>
      </c>
      <c r="D92">
        <v>1.3642E-2</v>
      </c>
      <c r="E92">
        <v>6.5962000000000007E-2</v>
      </c>
      <c r="F92" s="171" t="s">
        <v>137</v>
      </c>
      <c r="G92">
        <v>86880</v>
      </c>
      <c r="H92">
        <v>5731</v>
      </c>
      <c r="I92">
        <v>420071</v>
      </c>
      <c r="J92">
        <v>1777920</v>
      </c>
      <c r="K92">
        <v>20.46</v>
      </c>
    </row>
    <row r="93" spans="1:11" hidden="1" x14ac:dyDescent="0.3">
      <c r="A93">
        <v>2019</v>
      </c>
      <c r="B93" s="171" t="s">
        <v>131</v>
      </c>
      <c r="C93">
        <v>70</v>
      </c>
      <c r="D93">
        <v>2.1259E-2</v>
      </c>
      <c r="E93">
        <v>0.10093100000000001</v>
      </c>
      <c r="F93" s="171" t="s">
        <v>137</v>
      </c>
      <c r="G93">
        <v>81149</v>
      </c>
      <c r="H93">
        <v>8190</v>
      </c>
      <c r="I93">
        <v>385268</v>
      </c>
      <c r="J93">
        <v>1357849</v>
      </c>
      <c r="K93">
        <v>16.73</v>
      </c>
    </row>
    <row r="94" spans="1:11" hidden="1" x14ac:dyDescent="0.3">
      <c r="A94">
        <v>2019</v>
      </c>
      <c r="B94" s="171" t="s">
        <v>131</v>
      </c>
      <c r="C94">
        <v>75</v>
      </c>
      <c r="D94">
        <v>3.3681999999999997E-2</v>
      </c>
      <c r="E94">
        <v>0.15532899999999999</v>
      </c>
      <c r="F94" s="171" t="s">
        <v>137</v>
      </c>
      <c r="G94">
        <v>72958</v>
      </c>
      <c r="H94">
        <v>11333</v>
      </c>
      <c r="I94">
        <v>336461</v>
      </c>
      <c r="J94">
        <v>972581</v>
      </c>
      <c r="K94">
        <v>13.33</v>
      </c>
    </row>
    <row r="95" spans="1:11" hidden="1" x14ac:dyDescent="0.3">
      <c r="A95">
        <v>2019</v>
      </c>
      <c r="B95" s="171" t="s">
        <v>131</v>
      </c>
      <c r="C95">
        <v>80</v>
      </c>
      <c r="D95">
        <v>5.5995999999999997E-2</v>
      </c>
      <c r="E95">
        <v>0.24559900000000001</v>
      </c>
      <c r="F95" s="171" t="s">
        <v>137</v>
      </c>
      <c r="G95">
        <v>61626</v>
      </c>
      <c r="H95">
        <v>15135</v>
      </c>
      <c r="I95">
        <v>270291</v>
      </c>
      <c r="J95">
        <v>636120</v>
      </c>
      <c r="K95">
        <v>10.32</v>
      </c>
    </row>
    <row r="96" spans="1:11" hidden="1" x14ac:dyDescent="0.3">
      <c r="A96">
        <v>2019</v>
      </c>
      <c r="B96" s="171" t="s">
        <v>131</v>
      </c>
      <c r="C96">
        <v>85</v>
      </c>
      <c r="D96">
        <v>0.127083</v>
      </c>
      <c r="E96">
        <v>1</v>
      </c>
      <c r="F96" s="171" t="s">
        <v>130</v>
      </c>
      <c r="G96">
        <v>46491</v>
      </c>
      <c r="H96">
        <v>46491</v>
      </c>
      <c r="I96">
        <v>365828</v>
      </c>
      <c r="J96">
        <v>365828</v>
      </c>
      <c r="K96">
        <v>7.87</v>
      </c>
    </row>
    <row r="97" spans="1:11" hidden="1" x14ac:dyDescent="0.3">
      <c r="A97">
        <v>2021</v>
      </c>
      <c r="B97" s="171" t="s">
        <v>131</v>
      </c>
      <c r="C97">
        <v>0</v>
      </c>
      <c r="D97">
        <v>1.2719999999999999E-3</v>
      </c>
      <c r="E97">
        <v>1.271E-3</v>
      </c>
      <c r="F97" s="171" t="s">
        <v>138</v>
      </c>
      <c r="G97">
        <v>100000</v>
      </c>
      <c r="H97">
        <v>127</v>
      </c>
      <c r="I97">
        <v>99880</v>
      </c>
      <c r="J97">
        <v>7673044</v>
      </c>
      <c r="K97">
        <v>76.73</v>
      </c>
    </row>
    <row r="98" spans="1:11" hidden="1" x14ac:dyDescent="0.3">
      <c r="A98">
        <v>2021</v>
      </c>
      <c r="B98" s="171" t="s">
        <v>131</v>
      </c>
      <c r="C98">
        <v>1</v>
      </c>
      <c r="D98">
        <v>3.39E-4</v>
      </c>
      <c r="E98">
        <v>1.3569999999999999E-3</v>
      </c>
      <c r="F98" s="171" t="s">
        <v>139</v>
      </c>
      <c r="G98">
        <v>99873</v>
      </c>
      <c r="H98">
        <v>135</v>
      </c>
      <c r="I98">
        <v>399156</v>
      </c>
      <c r="J98">
        <v>7573164</v>
      </c>
      <c r="K98">
        <v>75.83</v>
      </c>
    </row>
    <row r="99" spans="1:11" hidden="1" x14ac:dyDescent="0.3">
      <c r="A99">
        <v>2021</v>
      </c>
      <c r="B99" s="171" t="s">
        <v>131</v>
      </c>
      <c r="C99">
        <v>5</v>
      </c>
      <c r="D99">
        <v>1.8200000000000001E-4</v>
      </c>
      <c r="E99">
        <v>9.1E-4</v>
      </c>
      <c r="F99" s="171" t="s">
        <v>137</v>
      </c>
      <c r="G99">
        <v>99737</v>
      </c>
      <c r="H99">
        <v>91</v>
      </c>
      <c r="I99">
        <v>498460</v>
      </c>
      <c r="J99">
        <v>7174008</v>
      </c>
      <c r="K99">
        <v>71.930000000000007</v>
      </c>
    </row>
    <row r="100" spans="1:11" hidden="1" x14ac:dyDescent="0.3">
      <c r="A100">
        <v>2021</v>
      </c>
      <c r="B100" s="171" t="s">
        <v>131</v>
      </c>
      <c r="C100">
        <v>10</v>
      </c>
      <c r="D100">
        <v>2.7599999999999999E-4</v>
      </c>
      <c r="E100">
        <v>1.377E-3</v>
      </c>
      <c r="F100" s="171" t="s">
        <v>137</v>
      </c>
      <c r="G100">
        <v>99647</v>
      </c>
      <c r="H100">
        <v>137</v>
      </c>
      <c r="I100">
        <v>497890</v>
      </c>
      <c r="J100">
        <v>6675548</v>
      </c>
      <c r="K100">
        <v>66.989999999999995</v>
      </c>
    </row>
    <row r="101" spans="1:11" hidden="1" x14ac:dyDescent="0.3">
      <c r="A101">
        <v>2021</v>
      </c>
      <c r="B101" s="171" t="s">
        <v>131</v>
      </c>
      <c r="C101">
        <v>15</v>
      </c>
      <c r="D101">
        <v>5.0100000000000003E-4</v>
      </c>
      <c r="E101">
        <v>2.503E-3</v>
      </c>
      <c r="F101" s="171" t="s">
        <v>137</v>
      </c>
      <c r="G101">
        <v>99509</v>
      </c>
      <c r="H101">
        <v>249</v>
      </c>
      <c r="I101">
        <v>496925</v>
      </c>
      <c r="J101">
        <v>6177657</v>
      </c>
      <c r="K101">
        <v>62.08</v>
      </c>
    </row>
    <row r="102" spans="1:11" hidden="1" x14ac:dyDescent="0.3">
      <c r="A102">
        <v>2021</v>
      </c>
      <c r="B102" s="171" t="s">
        <v>131</v>
      </c>
      <c r="C102">
        <v>20</v>
      </c>
      <c r="D102">
        <v>6.7500000000000004E-4</v>
      </c>
      <c r="E102">
        <v>3.3679999999999999E-3</v>
      </c>
      <c r="F102" s="171" t="s">
        <v>137</v>
      </c>
      <c r="G102">
        <v>99260</v>
      </c>
      <c r="H102">
        <v>334</v>
      </c>
      <c r="I102">
        <v>495466</v>
      </c>
      <c r="J102">
        <v>5680733</v>
      </c>
      <c r="K102">
        <v>57.23</v>
      </c>
    </row>
    <row r="103" spans="1:11" hidden="1" x14ac:dyDescent="0.3">
      <c r="A103">
        <v>2021</v>
      </c>
      <c r="B103" s="171" t="s">
        <v>131</v>
      </c>
      <c r="C103">
        <v>25</v>
      </c>
      <c r="D103">
        <v>1.026E-3</v>
      </c>
      <c r="E103">
        <v>5.117E-3</v>
      </c>
      <c r="F103" s="171" t="s">
        <v>137</v>
      </c>
      <c r="G103">
        <v>98926</v>
      </c>
      <c r="H103">
        <v>506</v>
      </c>
      <c r="I103">
        <v>493365</v>
      </c>
      <c r="J103">
        <v>5185266</v>
      </c>
      <c r="K103">
        <v>52.42</v>
      </c>
    </row>
    <row r="104" spans="1:11" hidden="1" x14ac:dyDescent="0.3">
      <c r="A104">
        <v>2021</v>
      </c>
      <c r="B104" s="171" t="s">
        <v>131</v>
      </c>
      <c r="C104">
        <v>30</v>
      </c>
      <c r="D104">
        <v>1.2639999999999999E-3</v>
      </c>
      <c r="E104">
        <v>6.2989999999999999E-3</v>
      </c>
      <c r="F104" s="171" t="s">
        <v>137</v>
      </c>
      <c r="G104">
        <v>98420</v>
      </c>
      <c r="H104">
        <v>620</v>
      </c>
      <c r="I104">
        <v>490550</v>
      </c>
      <c r="J104">
        <v>4691901</v>
      </c>
      <c r="K104">
        <v>47.67</v>
      </c>
    </row>
    <row r="105" spans="1:11" hidden="1" x14ac:dyDescent="0.3">
      <c r="A105">
        <v>2021</v>
      </c>
      <c r="B105" s="171" t="s">
        <v>131</v>
      </c>
      <c r="C105">
        <v>35</v>
      </c>
      <c r="D105">
        <v>1.655E-3</v>
      </c>
      <c r="E105">
        <v>8.2410000000000001E-3</v>
      </c>
      <c r="F105" s="171" t="s">
        <v>137</v>
      </c>
      <c r="G105">
        <v>97800</v>
      </c>
      <c r="H105">
        <v>806</v>
      </c>
      <c r="I105">
        <v>486985</v>
      </c>
      <c r="J105">
        <v>4201351</v>
      </c>
      <c r="K105">
        <v>42.96</v>
      </c>
    </row>
    <row r="106" spans="1:11" hidden="1" x14ac:dyDescent="0.3">
      <c r="A106">
        <v>2021</v>
      </c>
      <c r="B106" s="171" t="s">
        <v>131</v>
      </c>
      <c r="C106">
        <v>40</v>
      </c>
      <c r="D106">
        <v>2.6020000000000001E-3</v>
      </c>
      <c r="E106">
        <v>1.2925000000000001E-2</v>
      </c>
      <c r="F106" s="171" t="s">
        <v>137</v>
      </c>
      <c r="G106">
        <v>96994</v>
      </c>
      <c r="H106">
        <v>1254</v>
      </c>
      <c r="I106">
        <v>481836</v>
      </c>
      <c r="J106">
        <v>3714366</v>
      </c>
      <c r="K106">
        <v>38.29</v>
      </c>
    </row>
    <row r="107" spans="1:11" hidden="1" x14ac:dyDescent="0.3">
      <c r="A107">
        <v>2021</v>
      </c>
      <c r="B107" s="171" t="s">
        <v>131</v>
      </c>
      <c r="C107">
        <v>45</v>
      </c>
      <c r="D107">
        <v>4.4609999999999997E-3</v>
      </c>
      <c r="E107">
        <v>2.2057E-2</v>
      </c>
      <c r="F107" s="171" t="s">
        <v>137</v>
      </c>
      <c r="G107">
        <v>95740</v>
      </c>
      <c r="H107">
        <v>2112</v>
      </c>
      <c r="I107">
        <v>473423</v>
      </c>
      <c r="J107">
        <v>3232529</v>
      </c>
      <c r="K107">
        <v>33.76</v>
      </c>
    </row>
    <row r="108" spans="1:11" hidden="1" x14ac:dyDescent="0.3">
      <c r="A108">
        <v>2021</v>
      </c>
      <c r="B108" s="171" t="s">
        <v>131</v>
      </c>
      <c r="C108">
        <v>50</v>
      </c>
      <c r="D108">
        <v>6.1580000000000003E-3</v>
      </c>
      <c r="E108">
        <v>3.0321000000000001E-2</v>
      </c>
      <c r="F108" s="171" t="s">
        <v>137</v>
      </c>
      <c r="G108">
        <v>93629</v>
      </c>
      <c r="H108">
        <v>2839</v>
      </c>
      <c r="I108">
        <v>461046</v>
      </c>
      <c r="J108">
        <v>2759106</v>
      </c>
      <c r="K108">
        <v>29.47</v>
      </c>
    </row>
    <row r="109" spans="1:11" hidden="1" x14ac:dyDescent="0.3">
      <c r="A109">
        <v>2021</v>
      </c>
      <c r="B109" s="171" t="s">
        <v>131</v>
      </c>
      <c r="C109">
        <v>55</v>
      </c>
      <c r="D109">
        <v>9.9439999999999997E-3</v>
      </c>
      <c r="E109">
        <v>4.8515000000000003E-2</v>
      </c>
      <c r="F109" s="171" t="s">
        <v>137</v>
      </c>
      <c r="G109">
        <v>90790</v>
      </c>
      <c r="H109">
        <v>4405</v>
      </c>
      <c r="I109">
        <v>442937</v>
      </c>
      <c r="J109">
        <v>2298060</v>
      </c>
      <c r="K109">
        <v>25.31</v>
      </c>
    </row>
    <row r="110" spans="1:11" hidden="1" x14ac:dyDescent="0.3">
      <c r="A110">
        <v>2021</v>
      </c>
      <c r="B110" s="171" t="s">
        <v>131</v>
      </c>
      <c r="C110">
        <v>60</v>
      </c>
      <c r="D110">
        <v>1.4817E-2</v>
      </c>
      <c r="E110">
        <v>7.1441000000000004E-2</v>
      </c>
      <c r="F110" s="171" t="s">
        <v>137</v>
      </c>
      <c r="G110">
        <v>86385</v>
      </c>
      <c r="H110">
        <v>6171</v>
      </c>
      <c r="I110">
        <v>416497</v>
      </c>
      <c r="J110">
        <v>1855123</v>
      </c>
      <c r="K110">
        <v>21.48</v>
      </c>
    </row>
    <row r="111" spans="1:11" hidden="1" x14ac:dyDescent="0.3">
      <c r="A111">
        <v>2021</v>
      </c>
      <c r="B111" s="171" t="s">
        <v>131</v>
      </c>
      <c r="C111">
        <v>65</v>
      </c>
      <c r="D111">
        <v>2.1395999999999998E-2</v>
      </c>
      <c r="E111">
        <v>0.101549</v>
      </c>
      <c r="F111" s="171" t="s">
        <v>137</v>
      </c>
      <c r="G111">
        <v>80214</v>
      </c>
      <c r="H111">
        <v>8146</v>
      </c>
      <c r="I111">
        <v>380704</v>
      </c>
      <c r="J111">
        <v>1438626</v>
      </c>
      <c r="K111">
        <v>17.93</v>
      </c>
    </row>
    <row r="112" spans="1:11" hidden="1" x14ac:dyDescent="0.3">
      <c r="A112">
        <v>2021</v>
      </c>
      <c r="B112" s="171" t="s">
        <v>131</v>
      </c>
      <c r="C112">
        <v>70</v>
      </c>
      <c r="D112">
        <v>3.1484999999999999E-2</v>
      </c>
      <c r="E112">
        <v>0.14593600000000001</v>
      </c>
      <c r="F112" s="171" t="s">
        <v>137</v>
      </c>
      <c r="G112">
        <v>72068</v>
      </c>
      <c r="H112">
        <v>10517</v>
      </c>
      <c r="I112">
        <v>334047</v>
      </c>
      <c r="J112">
        <v>1057922</v>
      </c>
      <c r="K112">
        <v>14.68</v>
      </c>
    </row>
    <row r="113" spans="1:11" hidden="1" x14ac:dyDescent="0.3">
      <c r="A113">
        <v>2021</v>
      </c>
      <c r="B113" s="171" t="s">
        <v>131</v>
      </c>
      <c r="C113">
        <v>75</v>
      </c>
      <c r="D113">
        <v>4.6844999999999998E-2</v>
      </c>
      <c r="E113">
        <v>0.20966899999999999</v>
      </c>
      <c r="F113" s="171" t="s">
        <v>137</v>
      </c>
      <c r="G113">
        <v>61551</v>
      </c>
      <c r="H113">
        <v>12905</v>
      </c>
      <c r="I113">
        <v>275490</v>
      </c>
      <c r="J113">
        <v>723875</v>
      </c>
      <c r="K113">
        <v>11.76</v>
      </c>
    </row>
    <row r="114" spans="1:11" hidden="1" x14ac:dyDescent="0.3">
      <c r="A114">
        <v>2021</v>
      </c>
      <c r="B114" s="171" t="s">
        <v>131</v>
      </c>
      <c r="C114">
        <v>80</v>
      </c>
      <c r="D114">
        <v>6.8753999999999996E-2</v>
      </c>
      <c r="E114">
        <v>0.29334700000000002</v>
      </c>
      <c r="F114" s="171" t="s">
        <v>137</v>
      </c>
      <c r="G114">
        <v>48645</v>
      </c>
      <c r="H114">
        <v>14270</v>
      </c>
      <c r="I114">
        <v>207552</v>
      </c>
      <c r="J114">
        <v>448384</v>
      </c>
      <c r="K114">
        <v>9.2200000000000006</v>
      </c>
    </row>
    <row r="115" spans="1:11" hidden="1" x14ac:dyDescent="0.3">
      <c r="A115">
        <v>2021</v>
      </c>
      <c r="B115" s="171" t="s">
        <v>131</v>
      </c>
      <c r="C115">
        <v>85</v>
      </c>
      <c r="D115">
        <v>0.142736</v>
      </c>
      <c r="E115">
        <v>1</v>
      </c>
      <c r="F115" s="171" t="s">
        <v>130</v>
      </c>
      <c r="G115">
        <v>34375</v>
      </c>
      <c r="H115">
        <v>34375</v>
      </c>
      <c r="I115">
        <v>240832</v>
      </c>
      <c r="J115">
        <v>240832</v>
      </c>
      <c r="K115">
        <v>7.01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CE50-A168-4B69-9E2F-593814827306}">
  <sheetPr>
    <tabColor rgb="FF00B050"/>
  </sheetPr>
  <dimension ref="A1:D153"/>
  <sheetViews>
    <sheetView workbookViewId="0">
      <selection activeCell="D97" sqref="D97:D115"/>
    </sheetView>
  </sheetViews>
  <sheetFormatPr baseColWidth="10" defaultRowHeight="14.4" x14ac:dyDescent="0.3"/>
  <cols>
    <col min="1" max="1" width="6.88671875" bestFit="1" customWidth="1"/>
    <col min="2" max="2" width="6.6640625" bestFit="1" customWidth="1"/>
    <col min="3" max="3" width="6.21875" bestFit="1" customWidth="1"/>
    <col min="4" max="4" width="12" bestFit="1" customWidth="1"/>
  </cols>
  <sheetData>
    <row r="1" spans="1:4" x14ac:dyDescent="0.3">
      <c r="A1" t="s">
        <v>116</v>
      </c>
      <c r="B1" t="s">
        <v>117</v>
      </c>
      <c r="C1" t="s">
        <v>118</v>
      </c>
      <c r="D1" t="s">
        <v>119</v>
      </c>
    </row>
    <row r="2" spans="1:4" hidden="1" x14ac:dyDescent="0.3">
      <c r="A2">
        <v>2010</v>
      </c>
      <c r="B2" s="171" t="s">
        <v>120</v>
      </c>
      <c r="C2">
        <v>0</v>
      </c>
      <c r="D2">
        <v>292.12328300987099</v>
      </c>
    </row>
    <row r="3" spans="1:4" hidden="1" x14ac:dyDescent="0.3">
      <c r="A3">
        <v>2010</v>
      </c>
      <c r="B3" s="171" t="s">
        <v>120</v>
      </c>
      <c r="C3">
        <v>1</v>
      </c>
      <c r="D3">
        <v>61.845081969152801</v>
      </c>
    </row>
    <row r="4" spans="1:4" hidden="1" x14ac:dyDescent="0.3">
      <c r="A4">
        <v>2010</v>
      </c>
      <c r="B4" s="171" t="s">
        <v>120</v>
      </c>
      <c r="C4">
        <v>5</v>
      </c>
      <c r="D4">
        <v>30.752603849823899</v>
      </c>
    </row>
    <row r="5" spans="1:4" hidden="1" x14ac:dyDescent="0.3">
      <c r="A5">
        <v>2010</v>
      </c>
      <c r="B5" s="171" t="s">
        <v>120</v>
      </c>
      <c r="C5">
        <v>10</v>
      </c>
      <c r="D5">
        <v>51.472731916368701</v>
      </c>
    </row>
    <row r="6" spans="1:4" hidden="1" x14ac:dyDescent="0.3">
      <c r="A6">
        <v>2010</v>
      </c>
      <c r="B6" s="171" t="s">
        <v>120</v>
      </c>
      <c r="C6">
        <v>15</v>
      </c>
      <c r="D6">
        <v>141.405506591033</v>
      </c>
    </row>
    <row r="7" spans="1:4" hidden="1" x14ac:dyDescent="0.3">
      <c r="A7">
        <v>2010</v>
      </c>
      <c r="B7" s="171" t="s">
        <v>120</v>
      </c>
      <c r="C7">
        <v>20</v>
      </c>
      <c r="D7">
        <v>179.499312409087</v>
      </c>
    </row>
    <row r="8" spans="1:4" hidden="1" x14ac:dyDescent="0.3">
      <c r="A8">
        <v>2010</v>
      </c>
      <c r="B8" s="171" t="s">
        <v>120</v>
      </c>
      <c r="C8">
        <v>25</v>
      </c>
      <c r="D8">
        <v>187.84217422478099</v>
      </c>
    </row>
    <row r="9" spans="1:4" hidden="1" x14ac:dyDescent="0.3">
      <c r="A9">
        <v>2010</v>
      </c>
      <c r="B9" s="171" t="s">
        <v>120</v>
      </c>
      <c r="C9">
        <v>30</v>
      </c>
      <c r="D9">
        <v>182.84753590250801</v>
      </c>
    </row>
    <row r="10" spans="1:4" hidden="1" x14ac:dyDescent="0.3">
      <c r="A10">
        <v>2010</v>
      </c>
      <c r="B10" s="171" t="s">
        <v>120</v>
      </c>
      <c r="C10">
        <v>35</v>
      </c>
      <c r="D10">
        <v>225.977800230144</v>
      </c>
    </row>
    <row r="11" spans="1:4" hidden="1" x14ac:dyDescent="0.3">
      <c r="A11">
        <v>2010</v>
      </c>
      <c r="B11" s="171" t="s">
        <v>120</v>
      </c>
      <c r="C11">
        <v>40</v>
      </c>
      <c r="D11">
        <v>248.047730152399</v>
      </c>
    </row>
    <row r="12" spans="1:4" hidden="1" x14ac:dyDescent="0.3">
      <c r="A12">
        <v>2010</v>
      </c>
      <c r="B12" s="171" t="s">
        <v>120</v>
      </c>
      <c r="C12">
        <v>45</v>
      </c>
      <c r="D12">
        <v>282.80894284100998</v>
      </c>
    </row>
    <row r="13" spans="1:4" hidden="1" x14ac:dyDescent="0.3">
      <c r="A13">
        <v>2010</v>
      </c>
      <c r="B13" s="171" t="s">
        <v>120</v>
      </c>
      <c r="C13">
        <v>50</v>
      </c>
      <c r="D13">
        <v>354.34008323143701</v>
      </c>
    </row>
    <row r="14" spans="1:4" hidden="1" x14ac:dyDescent="0.3">
      <c r="A14">
        <v>2010</v>
      </c>
      <c r="B14" s="171" t="s">
        <v>120</v>
      </c>
      <c r="C14">
        <v>55</v>
      </c>
      <c r="D14">
        <v>399.13791238544002</v>
      </c>
    </row>
    <row r="15" spans="1:4" hidden="1" x14ac:dyDescent="0.3">
      <c r="A15">
        <v>2010</v>
      </c>
      <c r="B15" s="171" t="s">
        <v>120</v>
      </c>
      <c r="C15">
        <v>60</v>
      </c>
      <c r="D15">
        <v>464.63564600314498</v>
      </c>
    </row>
    <row r="16" spans="1:4" hidden="1" x14ac:dyDescent="0.3">
      <c r="A16">
        <v>2010</v>
      </c>
      <c r="B16" s="171" t="s">
        <v>120</v>
      </c>
      <c r="C16">
        <v>65</v>
      </c>
      <c r="D16">
        <v>528.82526980934301</v>
      </c>
    </row>
    <row r="17" spans="1:4" hidden="1" x14ac:dyDescent="0.3">
      <c r="A17">
        <v>2010</v>
      </c>
      <c r="B17" s="171" t="s">
        <v>120</v>
      </c>
      <c r="C17">
        <v>70</v>
      </c>
      <c r="D17">
        <v>648.86321295974994</v>
      </c>
    </row>
    <row r="18" spans="1:4" hidden="1" x14ac:dyDescent="0.3">
      <c r="A18">
        <v>2010</v>
      </c>
      <c r="B18" s="171" t="s">
        <v>120</v>
      </c>
      <c r="C18">
        <v>75</v>
      </c>
      <c r="D18">
        <v>766.51939749608698</v>
      </c>
    </row>
    <row r="19" spans="1:4" hidden="1" x14ac:dyDescent="0.3">
      <c r="A19">
        <v>2010</v>
      </c>
      <c r="B19" s="171" t="s">
        <v>120</v>
      </c>
      <c r="C19">
        <v>80</v>
      </c>
      <c r="D19">
        <v>765.54443238868998</v>
      </c>
    </row>
    <row r="20" spans="1:4" hidden="1" x14ac:dyDescent="0.3">
      <c r="A20">
        <v>2010</v>
      </c>
      <c r="B20" s="171" t="s">
        <v>120</v>
      </c>
      <c r="C20">
        <v>85</v>
      </c>
      <c r="D20">
        <v>1239.3482725993899</v>
      </c>
    </row>
    <row r="21" spans="1:4" hidden="1" x14ac:dyDescent="0.3">
      <c r="A21">
        <v>2019</v>
      </c>
      <c r="B21" s="171" t="s">
        <v>120</v>
      </c>
      <c r="C21">
        <v>0</v>
      </c>
      <c r="D21">
        <v>251.24329945431299</v>
      </c>
    </row>
    <row r="22" spans="1:4" hidden="1" x14ac:dyDescent="0.3">
      <c r="A22">
        <v>2019</v>
      </c>
      <c r="B22" s="171" t="s">
        <v>120</v>
      </c>
      <c r="C22">
        <v>1</v>
      </c>
      <c r="D22">
        <v>57.010521992592999</v>
      </c>
    </row>
    <row r="23" spans="1:4" hidden="1" x14ac:dyDescent="0.3">
      <c r="A23">
        <v>2019</v>
      </c>
      <c r="B23" s="171" t="s">
        <v>120</v>
      </c>
      <c r="C23">
        <v>5</v>
      </c>
      <c r="D23">
        <v>32.005723302431001</v>
      </c>
    </row>
    <row r="24" spans="1:4" hidden="1" x14ac:dyDescent="0.3">
      <c r="A24">
        <v>2019</v>
      </c>
      <c r="B24" s="171" t="s">
        <v>120</v>
      </c>
      <c r="C24">
        <v>10</v>
      </c>
      <c r="D24">
        <v>42.008166554716396</v>
      </c>
    </row>
    <row r="25" spans="1:4" hidden="1" x14ac:dyDescent="0.3">
      <c r="A25">
        <v>2019</v>
      </c>
      <c r="B25" s="171" t="s">
        <v>120</v>
      </c>
      <c r="C25">
        <v>15</v>
      </c>
      <c r="D25">
        <v>165.02948101814701</v>
      </c>
    </row>
    <row r="26" spans="1:4" hidden="1" x14ac:dyDescent="0.3">
      <c r="A26">
        <v>2019</v>
      </c>
      <c r="B26" s="171" t="s">
        <v>120</v>
      </c>
      <c r="C26">
        <v>20</v>
      </c>
      <c r="D26">
        <v>246.04596204826501</v>
      </c>
    </row>
    <row r="27" spans="1:4" hidden="1" x14ac:dyDescent="0.3">
      <c r="A27">
        <v>2019</v>
      </c>
      <c r="B27" s="171" t="s">
        <v>120</v>
      </c>
      <c r="C27">
        <v>25</v>
      </c>
      <c r="D27">
        <v>269.049589591683</v>
      </c>
    </row>
    <row r="28" spans="1:4" hidden="1" x14ac:dyDescent="0.3">
      <c r="A28">
        <v>2019</v>
      </c>
      <c r="B28" s="171" t="s">
        <v>120</v>
      </c>
      <c r="C28">
        <v>30</v>
      </c>
      <c r="D28">
        <v>235.044441063243</v>
      </c>
    </row>
    <row r="29" spans="1:4" hidden="1" x14ac:dyDescent="0.3">
      <c r="A29">
        <v>2019</v>
      </c>
      <c r="B29" s="171" t="s">
        <v>120</v>
      </c>
      <c r="C29">
        <v>35</v>
      </c>
      <c r="D29">
        <v>257.54888686044097</v>
      </c>
    </row>
    <row r="30" spans="1:4" hidden="1" x14ac:dyDescent="0.3">
      <c r="A30">
        <v>2019</v>
      </c>
      <c r="B30" s="171" t="s">
        <v>120</v>
      </c>
      <c r="C30">
        <v>40</v>
      </c>
      <c r="D30">
        <v>316.56042127971301</v>
      </c>
    </row>
    <row r="31" spans="1:4" hidden="1" x14ac:dyDescent="0.3">
      <c r="A31">
        <v>2019</v>
      </c>
      <c r="B31" s="171" t="s">
        <v>120</v>
      </c>
      <c r="C31">
        <v>45</v>
      </c>
      <c r="D31">
        <v>385.57352599090098</v>
      </c>
    </row>
    <row r="32" spans="1:4" hidden="1" x14ac:dyDescent="0.3">
      <c r="A32">
        <v>2019</v>
      </c>
      <c r="B32" s="171" t="s">
        <v>120</v>
      </c>
      <c r="C32">
        <v>50</v>
      </c>
      <c r="D32">
        <v>502.596167976137</v>
      </c>
    </row>
    <row r="33" spans="1:4" hidden="1" x14ac:dyDescent="0.3">
      <c r="A33">
        <v>2019</v>
      </c>
      <c r="B33" s="171" t="s">
        <v>120</v>
      </c>
      <c r="C33">
        <v>55</v>
      </c>
      <c r="D33">
        <v>583.11108645903403</v>
      </c>
    </row>
    <row r="34" spans="1:4" hidden="1" x14ac:dyDescent="0.3">
      <c r="A34">
        <v>2019</v>
      </c>
      <c r="B34" s="171" t="s">
        <v>120</v>
      </c>
      <c r="C34">
        <v>60</v>
      </c>
      <c r="D34">
        <v>648.62325270388703</v>
      </c>
    </row>
    <row r="35" spans="1:4" hidden="1" x14ac:dyDescent="0.3">
      <c r="A35">
        <v>2019</v>
      </c>
      <c r="B35" s="171" t="s">
        <v>120</v>
      </c>
      <c r="C35">
        <v>65</v>
      </c>
      <c r="D35">
        <v>709.13376084241497</v>
      </c>
    </row>
    <row r="36" spans="1:4" hidden="1" x14ac:dyDescent="0.3">
      <c r="A36">
        <v>2019</v>
      </c>
      <c r="B36" s="171" t="s">
        <v>120</v>
      </c>
      <c r="C36">
        <v>70</v>
      </c>
      <c r="D36">
        <v>818.65582030896303</v>
      </c>
    </row>
    <row r="37" spans="1:4" hidden="1" x14ac:dyDescent="0.3">
      <c r="A37">
        <v>2019</v>
      </c>
      <c r="B37" s="171" t="s">
        <v>120</v>
      </c>
      <c r="C37">
        <v>75</v>
      </c>
      <c r="D37">
        <v>908.67463517819397</v>
      </c>
    </row>
    <row r="38" spans="1:4" hidden="1" x14ac:dyDescent="0.3">
      <c r="A38">
        <v>2019</v>
      </c>
      <c r="B38" s="171" t="s">
        <v>120</v>
      </c>
      <c r="C38">
        <v>80</v>
      </c>
      <c r="D38">
        <v>1003.19124416556</v>
      </c>
    </row>
    <row r="39" spans="1:4" hidden="1" x14ac:dyDescent="0.3">
      <c r="A39">
        <v>2019</v>
      </c>
      <c r="B39" s="171" t="s">
        <v>120</v>
      </c>
      <c r="C39">
        <v>85</v>
      </c>
      <c r="D39">
        <v>1802.3391376352399</v>
      </c>
    </row>
    <row r="40" spans="1:4" hidden="1" x14ac:dyDescent="0.3">
      <c r="A40">
        <v>2021</v>
      </c>
      <c r="B40" s="171" t="s">
        <v>120</v>
      </c>
      <c r="C40">
        <v>0</v>
      </c>
      <c r="D40">
        <v>233.32558358617001</v>
      </c>
    </row>
    <row r="41" spans="1:4" hidden="1" x14ac:dyDescent="0.3">
      <c r="A41">
        <v>2021</v>
      </c>
      <c r="B41" s="171" t="s">
        <v>120</v>
      </c>
      <c r="C41">
        <v>1</v>
      </c>
      <c r="D41">
        <v>45.515703957297703</v>
      </c>
    </row>
    <row r="42" spans="1:4" hidden="1" x14ac:dyDescent="0.3">
      <c r="A42">
        <v>2021</v>
      </c>
      <c r="B42" s="171" t="s">
        <v>120</v>
      </c>
      <c r="C42">
        <v>5</v>
      </c>
      <c r="D42">
        <v>27.510065057367601</v>
      </c>
    </row>
    <row r="43" spans="1:4" hidden="1" x14ac:dyDescent="0.3">
      <c r="A43">
        <v>2021</v>
      </c>
      <c r="B43" s="171" t="s">
        <v>120</v>
      </c>
      <c r="C43">
        <v>10</v>
      </c>
      <c r="D43">
        <v>48.516832094909098</v>
      </c>
    </row>
    <row r="44" spans="1:4" hidden="1" x14ac:dyDescent="0.3">
      <c r="A44">
        <v>2021</v>
      </c>
      <c r="B44" s="171" t="s">
        <v>120</v>
      </c>
      <c r="C44">
        <v>15</v>
      </c>
      <c r="D44">
        <v>193.56719057562199</v>
      </c>
    </row>
    <row r="45" spans="1:4" hidden="1" x14ac:dyDescent="0.3">
      <c r="A45">
        <v>2021</v>
      </c>
      <c r="B45" s="171" t="s">
        <v>120</v>
      </c>
      <c r="C45">
        <v>20</v>
      </c>
      <c r="D45">
        <v>271.59599485483898</v>
      </c>
    </row>
    <row r="46" spans="1:4" hidden="1" x14ac:dyDescent="0.3">
      <c r="A46">
        <v>2021</v>
      </c>
      <c r="B46" s="171" t="s">
        <v>120</v>
      </c>
      <c r="C46">
        <v>25</v>
      </c>
      <c r="D46">
        <v>352.12157107823202</v>
      </c>
    </row>
    <row r="47" spans="1:4" hidden="1" x14ac:dyDescent="0.3">
      <c r="A47">
        <v>2021</v>
      </c>
      <c r="B47" s="171" t="s">
        <v>120</v>
      </c>
      <c r="C47">
        <v>30</v>
      </c>
      <c r="D47">
        <v>358.12465596566199</v>
      </c>
    </row>
    <row r="48" spans="1:4" hidden="1" x14ac:dyDescent="0.3">
      <c r="A48">
        <v>2021</v>
      </c>
      <c r="B48" s="171" t="s">
        <v>120</v>
      </c>
      <c r="C48">
        <v>35</v>
      </c>
      <c r="D48">
        <v>416.64371684216502</v>
      </c>
    </row>
    <row r="49" spans="1:4" hidden="1" x14ac:dyDescent="0.3">
      <c r="A49">
        <v>2021</v>
      </c>
      <c r="B49" s="171" t="s">
        <v>120</v>
      </c>
      <c r="C49">
        <v>40</v>
      </c>
      <c r="D49">
        <v>510.67753347687398</v>
      </c>
    </row>
    <row r="50" spans="1:4" hidden="1" x14ac:dyDescent="0.3">
      <c r="A50">
        <v>2021</v>
      </c>
      <c r="B50" s="171" t="s">
        <v>120</v>
      </c>
      <c r="C50">
        <v>45</v>
      </c>
      <c r="D50">
        <v>729.07092890861395</v>
      </c>
    </row>
    <row r="51" spans="1:4" hidden="1" x14ac:dyDescent="0.3">
      <c r="A51">
        <v>2021</v>
      </c>
      <c r="B51" s="171" t="s">
        <v>120</v>
      </c>
      <c r="C51">
        <v>50</v>
      </c>
      <c r="D51">
        <v>799.779481397925</v>
      </c>
    </row>
    <row r="52" spans="1:4" hidden="1" x14ac:dyDescent="0.3">
      <c r="A52">
        <v>2021</v>
      </c>
      <c r="B52" s="171" t="s">
        <v>120</v>
      </c>
      <c r="C52">
        <v>55</v>
      </c>
      <c r="D52">
        <v>1040.36482320922</v>
      </c>
    </row>
    <row r="53" spans="1:4" hidden="1" x14ac:dyDescent="0.3">
      <c r="A53">
        <v>2021</v>
      </c>
      <c r="B53" s="171" t="s">
        <v>120</v>
      </c>
      <c r="C53">
        <v>60</v>
      </c>
      <c r="D53">
        <v>1240.4347091776001</v>
      </c>
    </row>
    <row r="54" spans="1:4" hidden="1" x14ac:dyDescent="0.3">
      <c r="A54">
        <v>2021</v>
      </c>
      <c r="B54" s="171" t="s">
        <v>120</v>
      </c>
      <c r="C54">
        <v>65</v>
      </c>
      <c r="D54">
        <v>1318.9645552014199</v>
      </c>
    </row>
    <row r="55" spans="1:4" hidden="1" x14ac:dyDescent="0.3">
      <c r="A55">
        <v>2021</v>
      </c>
      <c r="B55" s="171" t="s">
        <v>120</v>
      </c>
      <c r="C55">
        <v>70</v>
      </c>
      <c r="D55">
        <v>1377.9839045387</v>
      </c>
    </row>
    <row r="56" spans="1:4" hidden="1" x14ac:dyDescent="0.3">
      <c r="A56">
        <v>2021</v>
      </c>
      <c r="B56" s="171" t="s">
        <v>120</v>
      </c>
      <c r="C56">
        <v>75</v>
      </c>
      <c r="D56">
        <v>1477.0181952729599</v>
      </c>
    </row>
    <row r="57" spans="1:4" hidden="1" x14ac:dyDescent="0.3">
      <c r="A57">
        <v>2021</v>
      </c>
      <c r="B57" s="171" t="s">
        <v>120</v>
      </c>
      <c r="C57">
        <v>80</v>
      </c>
      <c r="D57">
        <v>1473.5139915244099</v>
      </c>
    </row>
    <row r="58" spans="1:4" hidden="1" x14ac:dyDescent="0.3">
      <c r="A58">
        <v>2021</v>
      </c>
      <c r="B58" s="171" t="s">
        <v>120</v>
      </c>
      <c r="C58">
        <v>85</v>
      </c>
      <c r="D58">
        <v>2384.83218802591</v>
      </c>
    </row>
    <row r="59" spans="1:4" hidden="1" x14ac:dyDescent="0.3">
      <c r="A59">
        <v>2022</v>
      </c>
      <c r="B59" s="171" t="s">
        <v>120</v>
      </c>
      <c r="C59">
        <v>0</v>
      </c>
      <c r="D59">
        <v>274.65537313907703</v>
      </c>
    </row>
    <row r="60" spans="1:4" hidden="1" x14ac:dyDescent="0.3">
      <c r="A60">
        <v>2022</v>
      </c>
      <c r="B60" s="171" t="s">
        <v>120</v>
      </c>
      <c r="C60">
        <v>1</v>
      </c>
      <c r="D60">
        <v>59.010277306518397</v>
      </c>
    </row>
    <row r="61" spans="1:4" hidden="1" x14ac:dyDescent="0.3">
      <c r="A61">
        <v>2022</v>
      </c>
      <c r="B61" s="171" t="s">
        <v>120</v>
      </c>
      <c r="C61">
        <v>5</v>
      </c>
      <c r="D61">
        <v>30.005225749077098</v>
      </c>
    </row>
    <row r="62" spans="1:4" hidden="1" x14ac:dyDescent="0.3">
      <c r="A62">
        <v>2022</v>
      </c>
      <c r="B62" s="171" t="s">
        <v>120</v>
      </c>
      <c r="C62">
        <v>10</v>
      </c>
      <c r="D62">
        <v>52.009057965067001</v>
      </c>
    </row>
    <row r="63" spans="1:4" hidden="1" x14ac:dyDescent="0.3">
      <c r="A63">
        <v>2022</v>
      </c>
      <c r="B63" s="171" t="s">
        <v>120</v>
      </c>
      <c r="C63">
        <v>15</v>
      </c>
      <c r="D63">
        <v>189.03292221918599</v>
      </c>
    </row>
    <row r="64" spans="1:4" hidden="1" x14ac:dyDescent="0.3">
      <c r="A64">
        <v>2022</v>
      </c>
      <c r="B64" s="171" t="s">
        <v>120</v>
      </c>
      <c r="C64">
        <v>20</v>
      </c>
      <c r="D64">
        <v>245.04267695079699</v>
      </c>
    </row>
    <row r="65" spans="1:4" hidden="1" x14ac:dyDescent="0.3">
      <c r="A65">
        <v>2022</v>
      </c>
      <c r="B65" s="171" t="s">
        <v>120</v>
      </c>
      <c r="C65">
        <v>25</v>
      </c>
      <c r="D65">
        <v>297.05173491586402</v>
      </c>
    </row>
    <row r="66" spans="1:4" hidden="1" x14ac:dyDescent="0.3">
      <c r="A66">
        <v>2022</v>
      </c>
      <c r="B66" s="171" t="s">
        <v>120</v>
      </c>
      <c r="C66">
        <v>30</v>
      </c>
      <c r="D66">
        <v>319.05556713185399</v>
      </c>
    </row>
    <row r="67" spans="1:4" hidden="1" x14ac:dyDescent="0.3">
      <c r="A67">
        <v>2022</v>
      </c>
      <c r="B67" s="171" t="s">
        <v>120</v>
      </c>
      <c r="C67">
        <v>35</v>
      </c>
      <c r="D67">
        <v>352.06131545583798</v>
      </c>
    </row>
    <row r="68" spans="1:4" hidden="1" x14ac:dyDescent="0.3">
      <c r="A68">
        <v>2022</v>
      </c>
      <c r="B68" s="171" t="s">
        <v>120</v>
      </c>
      <c r="C68">
        <v>40</v>
      </c>
      <c r="D68">
        <v>365.06357994710498</v>
      </c>
    </row>
    <row r="69" spans="1:4" hidden="1" x14ac:dyDescent="0.3">
      <c r="A69">
        <v>2022</v>
      </c>
      <c r="B69" s="171" t="s">
        <v>120</v>
      </c>
      <c r="C69">
        <v>45</v>
      </c>
      <c r="D69">
        <v>496.08639905140899</v>
      </c>
    </row>
    <row r="70" spans="1:4" hidden="1" x14ac:dyDescent="0.3">
      <c r="A70">
        <v>2022</v>
      </c>
      <c r="B70" s="171" t="s">
        <v>120</v>
      </c>
      <c r="C70">
        <v>50</v>
      </c>
      <c r="D70">
        <v>605.10538593972205</v>
      </c>
    </row>
    <row r="71" spans="1:4" hidden="1" x14ac:dyDescent="0.3">
      <c r="A71">
        <v>2022</v>
      </c>
      <c r="B71" s="171" t="s">
        <v>120</v>
      </c>
      <c r="C71">
        <v>55</v>
      </c>
      <c r="D71">
        <v>749.13046953529295</v>
      </c>
    </row>
    <row r="72" spans="1:4" hidden="1" x14ac:dyDescent="0.3">
      <c r="A72">
        <v>2022</v>
      </c>
      <c r="B72" s="171" t="s">
        <v>120</v>
      </c>
      <c r="C72">
        <v>60</v>
      </c>
      <c r="D72">
        <v>811.14126941671896</v>
      </c>
    </row>
    <row r="73" spans="1:4" hidden="1" x14ac:dyDescent="0.3">
      <c r="A73">
        <v>2022</v>
      </c>
      <c r="B73" s="171" t="s">
        <v>120</v>
      </c>
      <c r="C73">
        <v>65</v>
      </c>
      <c r="D73">
        <v>937.16321756284299</v>
      </c>
    </row>
    <row r="74" spans="1:4" hidden="1" x14ac:dyDescent="0.3">
      <c r="A74">
        <v>2022</v>
      </c>
      <c r="B74" s="171" t="s">
        <v>120</v>
      </c>
      <c r="C74">
        <v>70</v>
      </c>
      <c r="D74">
        <v>1097.19108822459</v>
      </c>
    </row>
    <row r="75" spans="1:4" hidden="1" x14ac:dyDescent="0.3">
      <c r="A75">
        <v>2022</v>
      </c>
      <c r="B75" s="171" t="s">
        <v>120</v>
      </c>
      <c r="C75">
        <v>75</v>
      </c>
      <c r="D75">
        <v>1170.20380421401</v>
      </c>
    </row>
    <row r="76" spans="1:4" hidden="1" x14ac:dyDescent="0.3">
      <c r="A76">
        <v>2022</v>
      </c>
      <c r="B76" s="171" t="s">
        <v>120</v>
      </c>
      <c r="C76">
        <v>80</v>
      </c>
      <c r="D76">
        <v>1190.2072880467299</v>
      </c>
    </row>
    <row r="77" spans="1:4" hidden="1" x14ac:dyDescent="0.3">
      <c r="A77">
        <v>2022</v>
      </c>
      <c r="B77" s="171" t="s">
        <v>120</v>
      </c>
      <c r="C77">
        <v>85</v>
      </c>
      <c r="D77">
        <v>2244.3908860309698</v>
      </c>
    </row>
    <row r="78" spans="1:4" hidden="1" x14ac:dyDescent="0.3">
      <c r="A78">
        <v>2010</v>
      </c>
      <c r="B78" s="171" t="s">
        <v>121</v>
      </c>
      <c r="C78">
        <v>0</v>
      </c>
      <c r="D78">
        <v>241.21514886714201</v>
      </c>
    </row>
    <row r="79" spans="1:4" hidden="1" x14ac:dyDescent="0.3">
      <c r="A79">
        <v>2010</v>
      </c>
      <c r="B79" s="171" t="s">
        <v>121</v>
      </c>
      <c r="C79">
        <v>1</v>
      </c>
      <c r="D79">
        <v>55.723972575479699</v>
      </c>
    </row>
    <row r="80" spans="1:4" hidden="1" x14ac:dyDescent="0.3">
      <c r="A80">
        <v>2010</v>
      </c>
      <c r="B80" s="171" t="s">
        <v>121</v>
      </c>
      <c r="C80">
        <v>5</v>
      </c>
      <c r="D80">
        <v>25.023054777748499</v>
      </c>
    </row>
    <row r="81" spans="1:4" hidden="1" x14ac:dyDescent="0.3">
      <c r="A81">
        <v>2010</v>
      </c>
      <c r="B81" s="171" t="s">
        <v>121</v>
      </c>
      <c r="C81">
        <v>10</v>
      </c>
      <c r="D81">
        <v>36.037435138972299</v>
      </c>
    </row>
    <row r="82" spans="1:4" hidden="1" x14ac:dyDescent="0.3">
      <c r="A82">
        <v>2010</v>
      </c>
      <c r="B82" s="171" t="s">
        <v>121</v>
      </c>
      <c r="C82">
        <v>15</v>
      </c>
      <c r="D82">
        <v>64.406257587582402</v>
      </c>
    </row>
    <row r="83" spans="1:4" hidden="1" x14ac:dyDescent="0.3">
      <c r="A83">
        <v>2010</v>
      </c>
      <c r="B83" s="171" t="s">
        <v>121</v>
      </c>
      <c r="C83">
        <v>20</v>
      </c>
      <c r="D83">
        <v>64.734627075390307</v>
      </c>
    </row>
    <row r="84" spans="1:4" hidden="1" x14ac:dyDescent="0.3">
      <c r="A84">
        <v>2010</v>
      </c>
      <c r="B84" s="171" t="s">
        <v>121</v>
      </c>
      <c r="C84">
        <v>25</v>
      </c>
      <c r="D84">
        <v>60.0647393654911</v>
      </c>
    </row>
    <row r="85" spans="1:4" hidden="1" x14ac:dyDescent="0.3">
      <c r="A85">
        <v>2010</v>
      </c>
      <c r="B85" s="171" t="s">
        <v>121</v>
      </c>
      <c r="C85">
        <v>30</v>
      </c>
      <c r="D85">
        <v>56.3971692911052</v>
      </c>
    </row>
    <row r="86" spans="1:4" hidden="1" x14ac:dyDescent="0.3">
      <c r="A86">
        <v>2010</v>
      </c>
      <c r="B86" s="171" t="s">
        <v>121</v>
      </c>
      <c r="C86">
        <v>35</v>
      </c>
      <c r="D86">
        <v>103.782853598475</v>
      </c>
    </row>
    <row r="87" spans="1:4" hidden="1" x14ac:dyDescent="0.3">
      <c r="A87">
        <v>2010</v>
      </c>
      <c r="B87" s="171" t="s">
        <v>121</v>
      </c>
      <c r="C87">
        <v>40</v>
      </c>
      <c r="D87">
        <v>126.47064781086399</v>
      </c>
    </row>
    <row r="88" spans="1:4" hidden="1" x14ac:dyDescent="0.3">
      <c r="A88">
        <v>2010</v>
      </c>
      <c r="B88" s="171" t="s">
        <v>121</v>
      </c>
      <c r="C88">
        <v>45</v>
      </c>
      <c r="D88">
        <v>179.188616100747</v>
      </c>
    </row>
    <row r="89" spans="1:4" hidden="1" x14ac:dyDescent="0.3">
      <c r="A89">
        <v>2010</v>
      </c>
      <c r="B89" s="171" t="s">
        <v>121</v>
      </c>
      <c r="C89">
        <v>50</v>
      </c>
      <c r="D89">
        <v>235.59251095719799</v>
      </c>
    </row>
    <row r="90" spans="1:4" hidden="1" x14ac:dyDescent="0.3">
      <c r="A90">
        <v>2010</v>
      </c>
      <c r="B90" s="171" t="s">
        <v>121</v>
      </c>
      <c r="C90">
        <v>55</v>
      </c>
      <c r="D90">
        <v>290.65119929129003</v>
      </c>
    </row>
    <row r="91" spans="1:4" hidden="1" x14ac:dyDescent="0.3">
      <c r="A91">
        <v>2010</v>
      </c>
      <c r="B91" s="171" t="s">
        <v>121</v>
      </c>
      <c r="C91">
        <v>60</v>
      </c>
      <c r="D91">
        <v>367.41466994466901</v>
      </c>
    </row>
    <row r="92" spans="1:4" hidden="1" x14ac:dyDescent="0.3">
      <c r="A92">
        <v>2010</v>
      </c>
      <c r="B92" s="171" t="s">
        <v>121</v>
      </c>
      <c r="C92">
        <v>65</v>
      </c>
      <c r="D92">
        <v>451.16406193092701</v>
      </c>
    </row>
    <row r="93" spans="1:4" hidden="1" x14ac:dyDescent="0.3">
      <c r="A93">
        <v>2010</v>
      </c>
      <c r="B93" s="171" t="s">
        <v>121</v>
      </c>
      <c r="C93">
        <v>70</v>
      </c>
      <c r="D93">
        <v>579.33209982784399</v>
      </c>
    </row>
    <row r="94" spans="1:4" hidden="1" x14ac:dyDescent="0.3">
      <c r="A94">
        <v>2010</v>
      </c>
      <c r="B94" s="171" t="s">
        <v>121</v>
      </c>
      <c r="C94">
        <v>75</v>
      </c>
      <c r="D94">
        <v>669.08381057557494</v>
      </c>
    </row>
    <row r="95" spans="1:4" hidden="1" x14ac:dyDescent="0.3">
      <c r="A95">
        <v>2010</v>
      </c>
      <c r="B95" s="171" t="s">
        <v>121</v>
      </c>
      <c r="C95">
        <v>80</v>
      </c>
      <c r="D95">
        <v>770.51379829687505</v>
      </c>
    </row>
    <row r="96" spans="1:4" hidden="1" x14ac:dyDescent="0.3">
      <c r="A96">
        <v>2010</v>
      </c>
      <c r="B96" s="171" t="s">
        <v>121</v>
      </c>
      <c r="C96">
        <v>85</v>
      </c>
      <c r="D96">
        <v>1392.7069236227501</v>
      </c>
    </row>
    <row r="97" spans="1:4" x14ac:dyDescent="0.3">
      <c r="A97">
        <v>2019</v>
      </c>
      <c r="B97" s="171" t="s">
        <v>121</v>
      </c>
      <c r="C97">
        <v>0</v>
      </c>
      <c r="D97">
        <v>202.72791557498201</v>
      </c>
    </row>
    <row r="98" spans="1:4" x14ac:dyDescent="0.3">
      <c r="A98">
        <v>2019</v>
      </c>
      <c r="B98" s="171" t="s">
        <v>121</v>
      </c>
      <c r="C98">
        <v>1</v>
      </c>
      <c r="D98">
        <v>44.008463418515497</v>
      </c>
    </row>
    <row r="99" spans="1:4" x14ac:dyDescent="0.3">
      <c r="A99">
        <v>2019</v>
      </c>
      <c r="B99" s="171" t="s">
        <v>121</v>
      </c>
      <c r="C99">
        <v>5</v>
      </c>
      <c r="D99">
        <v>24.003385367406199</v>
      </c>
    </row>
    <row r="100" spans="1:4" x14ac:dyDescent="0.3">
      <c r="A100">
        <v>2019</v>
      </c>
      <c r="B100" s="171" t="s">
        <v>121</v>
      </c>
      <c r="C100">
        <v>10</v>
      </c>
      <c r="D100">
        <v>33.5062629297014</v>
      </c>
    </row>
    <row r="101" spans="1:4" x14ac:dyDescent="0.3">
      <c r="A101">
        <v>2019</v>
      </c>
      <c r="B101" s="171" t="s">
        <v>121</v>
      </c>
      <c r="C101">
        <v>15</v>
      </c>
      <c r="D101">
        <v>56.010325370588902</v>
      </c>
    </row>
    <row r="102" spans="1:4" x14ac:dyDescent="0.3">
      <c r="A102">
        <v>2019</v>
      </c>
      <c r="B102" s="171" t="s">
        <v>121</v>
      </c>
      <c r="C102">
        <v>20</v>
      </c>
      <c r="D102">
        <v>59.009817565477903</v>
      </c>
    </row>
    <row r="103" spans="1:4" x14ac:dyDescent="0.3">
      <c r="A103">
        <v>2019</v>
      </c>
      <c r="B103" s="171" t="s">
        <v>121</v>
      </c>
      <c r="C103">
        <v>25</v>
      </c>
      <c r="D103">
        <v>73.512187322662299</v>
      </c>
    </row>
    <row r="104" spans="1:4" x14ac:dyDescent="0.3">
      <c r="A104">
        <v>2019</v>
      </c>
      <c r="B104" s="171" t="s">
        <v>121</v>
      </c>
      <c r="C104">
        <v>30</v>
      </c>
      <c r="D104">
        <v>76.010325370588902</v>
      </c>
    </row>
    <row r="105" spans="1:4" x14ac:dyDescent="0.3">
      <c r="A105">
        <v>2019</v>
      </c>
      <c r="B105" s="171" t="s">
        <v>121</v>
      </c>
      <c r="C105">
        <v>35</v>
      </c>
      <c r="D105">
        <v>108.51794244725301</v>
      </c>
    </row>
    <row r="106" spans="1:4" x14ac:dyDescent="0.3">
      <c r="A106">
        <v>2019</v>
      </c>
      <c r="B106" s="171" t="s">
        <v>121</v>
      </c>
      <c r="C106">
        <v>40</v>
      </c>
      <c r="D106">
        <v>164.53012976991499</v>
      </c>
    </row>
    <row r="107" spans="1:4" x14ac:dyDescent="0.3">
      <c r="A107">
        <v>2019</v>
      </c>
      <c r="B107" s="171" t="s">
        <v>121</v>
      </c>
      <c r="C107">
        <v>45</v>
      </c>
      <c r="D107">
        <v>225.03859318843001</v>
      </c>
    </row>
    <row r="108" spans="1:4" x14ac:dyDescent="0.3">
      <c r="A108">
        <v>2019</v>
      </c>
      <c r="B108" s="171" t="s">
        <v>121</v>
      </c>
      <c r="C108">
        <v>50</v>
      </c>
      <c r="D108">
        <v>287.54976490087103</v>
      </c>
    </row>
    <row r="109" spans="1:4" x14ac:dyDescent="0.3">
      <c r="A109">
        <v>2019</v>
      </c>
      <c r="B109" s="171" t="s">
        <v>121</v>
      </c>
      <c r="C109">
        <v>55</v>
      </c>
      <c r="D109">
        <v>422.07210832575203</v>
      </c>
    </row>
    <row r="110" spans="1:4" x14ac:dyDescent="0.3">
      <c r="A110">
        <v>2019</v>
      </c>
      <c r="B110" s="171" t="s">
        <v>121</v>
      </c>
      <c r="C110">
        <v>60</v>
      </c>
      <c r="D110">
        <v>501.58818882093198</v>
      </c>
    </row>
    <row r="111" spans="1:4" x14ac:dyDescent="0.3">
      <c r="A111">
        <v>2019</v>
      </c>
      <c r="B111" s="171" t="s">
        <v>121</v>
      </c>
      <c r="C111">
        <v>65</v>
      </c>
      <c r="D111">
        <v>570.60223809566696</v>
      </c>
    </row>
    <row r="112" spans="1:4" x14ac:dyDescent="0.3">
      <c r="A112">
        <v>2019</v>
      </c>
      <c r="B112" s="171" t="s">
        <v>121</v>
      </c>
      <c r="C112">
        <v>70</v>
      </c>
      <c r="D112">
        <v>689.61781078573597</v>
      </c>
    </row>
    <row r="113" spans="1:4" x14ac:dyDescent="0.3">
      <c r="A113">
        <v>2019</v>
      </c>
      <c r="B113" s="171" t="s">
        <v>121</v>
      </c>
      <c r="C113">
        <v>75</v>
      </c>
      <c r="D113">
        <v>781.63321420743398</v>
      </c>
    </row>
    <row r="114" spans="1:4" x14ac:dyDescent="0.3">
      <c r="A114">
        <v>2019</v>
      </c>
      <c r="B114" s="171" t="s">
        <v>121</v>
      </c>
      <c r="C114">
        <v>80</v>
      </c>
      <c r="D114">
        <v>946.16029714668298</v>
      </c>
    </row>
    <row r="115" spans="1:4" x14ac:dyDescent="0.3">
      <c r="A115">
        <v>2019</v>
      </c>
      <c r="B115" s="171" t="s">
        <v>121</v>
      </c>
      <c r="C115">
        <v>85</v>
      </c>
      <c r="D115">
        <v>2063.3461538172901</v>
      </c>
    </row>
    <row r="116" spans="1:4" hidden="1" x14ac:dyDescent="0.3">
      <c r="A116">
        <v>2021</v>
      </c>
      <c r="B116" s="171" t="s">
        <v>121</v>
      </c>
      <c r="C116">
        <v>0</v>
      </c>
      <c r="D116">
        <v>171.25298760512601</v>
      </c>
    </row>
    <row r="117" spans="1:4" hidden="1" x14ac:dyDescent="0.3">
      <c r="A117">
        <v>2021</v>
      </c>
      <c r="B117" s="171" t="s">
        <v>121</v>
      </c>
      <c r="C117">
        <v>1</v>
      </c>
      <c r="D117">
        <v>31.5011931171992</v>
      </c>
    </row>
    <row r="118" spans="1:4" hidden="1" x14ac:dyDescent="0.3">
      <c r="A118">
        <v>2021</v>
      </c>
      <c r="B118" s="171" t="s">
        <v>121</v>
      </c>
      <c r="C118">
        <v>5</v>
      </c>
      <c r="D118">
        <v>21.501002218447301</v>
      </c>
    </row>
    <row r="119" spans="1:4" hidden="1" x14ac:dyDescent="0.3">
      <c r="A119">
        <v>2021</v>
      </c>
      <c r="B119" s="171" t="s">
        <v>121</v>
      </c>
      <c r="C119">
        <v>10</v>
      </c>
      <c r="D119">
        <v>34.001336291263101</v>
      </c>
    </row>
    <row r="120" spans="1:4" hidden="1" x14ac:dyDescent="0.3">
      <c r="A120">
        <v>2021</v>
      </c>
      <c r="B120" s="171" t="s">
        <v>121</v>
      </c>
      <c r="C120">
        <v>15</v>
      </c>
      <c r="D120">
        <v>62.503197554093802</v>
      </c>
    </row>
    <row r="121" spans="1:4" hidden="1" x14ac:dyDescent="0.3">
      <c r="A121">
        <v>2021</v>
      </c>
      <c r="B121" s="171" t="s">
        <v>121</v>
      </c>
      <c r="C121">
        <v>20</v>
      </c>
      <c r="D121">
        <v>80.503627076285497</v>
      </c>
    </row>
    <row r="122" spans="1:4" hidden="1" x14ac:dyDescent="0.3">
      <c r="A122">
        <v>2021</v>
      </c>
      <c r="B122" s="171" t="s">
        <v>121</v>
      </c>
      <c r="C122">
        <v>25</v>
      </c>
      <c r="D122">
        <v>120.005058816925</v>
      </c>
    </row>
    <row r="123" spans="1:4" hidden="1" x14ac:dyDescent="0.3">
      <c r="A123">
        <v>2021</v>
      </c>
      <c r="B123" s="171" t="s">
        <v>121</v>
      </c>
      <c r="C123">
        <v>30</v>
      </c>
      <c r="D123">
        <v>138.006061035371</v>
      </c>
    </row>
    <row r="124" spans="1:4" hidden="1" x14ac:dyDescent="0.3">
      <c r="A124">
        <v>2021</v>
      </c>
      <c r="B124" s="171" t="s">
        <v>121</v>
      </c>
      <c r="C124">
        <v>35</v>
      </c>
      <c r="D124">
        <v>169.50658600694001</v>
      </c>
    </row>
    <row r="125" spans="1:4" hidden="1" x14ac:dyDescent="0.3">
      <c r="A125">
        <v>2021</v>
      </c>
      <c r="B125" s="171" t="s">
        <v>121</v>
      </c>
      <c r="C125">
        <v>40</v>
      </c>
      <c r="D125">
        <v>252.012122070743</v>
      </c>
    </row>
    <row r="126" spans="1:4" hidden="1" x14ac:dyDescent="0.3">
      <c r="A126">
        <v>2021</v>
      </c>
      <c r="B126" s="171" t="s">
        <v>121</v>
      </c>
      <c r="C126">
        <v>45</v>
      </c>
      <c r="D126">
        <v>409.33630590396803</v>
      </c>
    </row>
    <row r="127" spans="1:4" hidden="1" x14ac:dyDescent="0.3">
      <c r="A127">
        <v>2021</v>
      </c>
      <c r="B127" s="171" t="s">
        <v>121</v>
      </c>
      <c r="C127">
        <v>50</v>
      </c>
      <c r="D127">
        <v>522.52424414148697</v>
      </c>
    </row>
    <row r="128" spans="1:4" hidden="1" x14ac:dyDescent="0.3">
      <c r="A128">
        <v>2021</v>
      </c>
      <c r="B128" s="171" t="s">
        <v>121</v>
      </c>
      <c r="C128">
        <v>55</v>
      </c>
      <c r="D128">
        <v>696.53307320876002</v>
      </c>
    </row>
    <row r="129" spans="1:4" hidden="1" x14ac:dyDescent="0.3">
      <c r="A129">
        <v>2021</v>
      </c>
      <c r="B129" s="171" t="s">
        <v>121</v>
      </c>
      <c r="C129">
        <v>60</v>
      </c>
      <c r="D129">
        <v>884.54195000072298</v>
      </c>
    </row>
    <row r="130" spans="1:4" hidden="1" x14ac:dyDescent="0.3">
      <c r="A130">
        <v>2021</v>
      </c>
      <c r="B130" s="171" t="s">
        <v>121</v>
      </c>
      <c r="C130">
        <v>65</v>
      </c>
      <c r="D130">
        <v>969.54548162763194</v>
      </c>
    </row>
    <row r="131" spans="1:4" hidden="1" x14ac:dyDescent="0.3">
      <c r="A131">
        <v>2021</v>
      </c>
      <c r="B131" s="171" t="s">
        <v>121</v>
      </c>
      <c r="C131">
        <v>70</v>
      </c>
      <c r="D131">
        <v>1072.5510176914299</v>
      </c>
    </row>
    <row r="132" spans="1:4" hidden="1" x14ac:dyDescent="0.3">
      <c r="A132">
        <v>2021</v>
      </c>
      <c r="B132" s="171" t="s">
        <v>121</v>
      </c>
      <c r="C132">
        <v>75</v>
      </c>
      <c r="D132">
        <v>1153.5545970430301</v>
      </c>
    </row>
    <row r="133" spans="1:4" hidden="1" x14ac:dyDescent="0.3">
      <c r="A133">
        <v>2021</v>
      </c>
      <c r="B133" s="171" t="s">
        <v>121</v>
      </c>
      <c r="C133">
        <v>80</v>
      </c>
      <c r="D133">
        <v>1248.5598467587099</v>
      </c>
    </row>
    <row r="134" spans="1:4" hidden="1" x14ac:dyDescent="0.3">
      <c r="A134">
        <v>2021</v>
      </c>
      <c r="B134" s="171" t="s">
        <v>121</v>
      </c>
      <c r="C134">
        <v>85</v>
      </c>
      <c r="D134">
        <v>2532.1219365777602</v>
      </c>
    </row>
    <row r="135" spans="1:4" hidden="1" x14ac:dyDescent="0.3">
      <c r="A135">
        <v>2022</v>
      </c>
      <c r="B135" s="171" t="s">
        <v>121</v>
      </c>
      <c r="C135">
        <v>0</v>
      </c>
      <c r="D135">
        <v>177.647691491253</v>
      </c>
    </row>
    <row r="136" spans="1:4" hidden="1" x14ac:dyDescent="0.3">
      <c r="A136">
        <v>2022</v>
      </c>
      <c r="B136" s="171" t="s">
        <v>121</v>
      </c>
      <c r="C136">
        <v>1</v>
      </c>
      <c r="D136">
        <v>51.011529843451598</v>
      </c>
    </row>
    <row r="137" spans="1:4" hidden="1" x14ac:dyDescent="0.3">
      <c r="A137">
        <v>2022</v>
      </c>
      <c r="B137" s="171" t="s">
        <v>121</v>
      </c>
      <c r="C137">
        <v>5</v>
      </c>
      <c r="D137">
        <v>22.0049736579595</v>
      </c>
    </row>
    <row r="138" spans="1:4" hidden="1" x14ac:dyDescent="0.3">
      <c r="A138">
        <v>2022</v>
      </c>
      <c r="B138" s="171" t="s">
        <v>121</v>
      </c>
      <c r="C138">
        <v>10</v>
      </c>
      <c r="D138">
        <v>31.007008336215701</v>
      </c>
    </row>
    <row r="139" spans="1:4" hidden="1" x14ac:dyDescent="0.3">
      <c r="A139">
        <v>2022</v>
      </c>
      <c r="B139" s="171" t="s">
        <v>121</v>
      </c>
      <c r="C139">
        <v>15</v>
      </c>
      <c r="D139">
        <v>53.011981994175201</v>
      </c>
    </row>
    <row r="140" spans="1:4" hidden="1" x14ac:dyDescent="0.3">
      <c r="A140">
        <v>2022</v>
      </c>
      <c r="B140" s="171" t="s">
        <v>121</v>
      </c>
      <c r="C140">
        <v>20</v>
      </c>
      <c r="D140">
        <v>81.018312104305494</v>
      </c>
    </row>
    <row r="141" spans="1:4" hidden="1" x14ac:dyDescent="0.3">
      <c r="A141">
        <v>2022</v>
      </c>
      <c r="B141" s="171" t="s">
        <v>121</v>
      </c>
      <c r="C141">
        <v>25</v>
      </c>
      <c r="D141">
        <v>92.020798933285207</v>
      </c>
    </row>
    <row r="142" spans="1:4" hidden="1" x14ac:dyDescent="0.3">
      <c r="A142">
        <v>2022</v>
      </c>
      <c r="B142" s="171" t="s">
        <v>121</v>
      </c>
      <c r="C142">
        <v>30</v>
      </c>
      <c r="D142">
        <v>96.021703234732399</v>
      </c>
    </row>
    <row r="143" spans="1:4" hidden="1" x14ac:dyDescent="0.3">
      <c r="A143">
        <v>2022</v>
      </c>
      <c r="B143" s="171" t="s">
        <v>121</v>
      </c>
      <c r="C143">
        <v>35</v>
      </c>
      <c r="D143">
        <v>138.031198399928</v>
      </c>
    </row>
    <row r="144" spans="1:4" hidden="1" x14ac:dyDescent="0.3">
      <c r="A144">
        <v>2022</v>
      </c>
      <c r="B144" s="171" t="s">
        <v>121</v>
      </c>
      <c r="C144">
        <v>40</v>
      </c>
      <c r="D144">
        <v>183.041371791209</v>
      </c>
    </row>
    <row r="145" spans="1:4" hidden="1" x14ac:dyDescent="0.3">
      <c r="A145">
        <v>2022</v>
      </c>
      <c r="B145" s="171" t="s">
        <v>121</v>
      </c>
      <c r="C145">
        <v>45</v>
      </c>
      <c r="D145">
        <v>277.06262287521702</v>
      </c>
    </row>
    <row r="146" spans="1:4" hidden="1" x14ac:dyDescent="0.3">
      <c r="A146">
        <v>2022</v>
      </c>
      <c r="B146" s="171" t="s">
        <v>121</v>
      </c>
      <c r="C146">
        <v>50</v>
      </c>
      <c r="D146">
        <v>365.082517507055</v>
      </c>
    </row>
    <row r="147" spans="1:4" hidden="1" x14ac:dyDescent="0.3">
      <c r="A147">
        <v>2022</v>
      </c>
      <c r="B147" s="171" t="s">
        <v>121</v>
      </c>
      <c r="C147">
        <v>55</v>
      </c>
      <c r="D147">
        <v>492.11122907800399</v>
      </c>
    </row>
    <row r="148" spans="1:4" hidden="1" x14ac:dyDescent="0.3">
      <c r="A148">
        <v>2022</v>
      </c>
      <c r="B148" s="171" t="s">
        <v>121</v>
      </c>
      <c r="C148">
        <v>60</v>
      </c>
      <c r="D148">
        <v>672.15192264312702</v>
      </c>
    </row>
    <row r="149" spans="1:4" hidden="1" x14ac:dyDescent="0.3">
      <c r="A149">
        <v>2022</v>
      </c>
      <c r="B149" s="171" t="s">
        <v>121</v>
      </c>
      <c r="C149">
        <v>65</v>
      </c>
      <c r="D149">
        <v>768.17362587785897</v>
      </c>
    </row>
    <row r="150" spans="1:4" hidden="1" x14ac:dyDescent="0.3">
      <c r="A150">
        <v>2022</v>
      </c>
      <c r="B150" s="171" t="s">
        <v>121</v>
      </c>
      <c r="C150">
        <v>70</v>
      </c>
      <c r="D150">
        <v>832.18809470101405</v>
      </c>
    </row>
    <row r="151" spans="1:4" hidden="1" x14ac:dyDescent="0.3">
      <c r="A151">
        <v>2022</v>
      </c>
      <c r="B151" s="171" t="s">
        <v>121</v>
      </c>
      <c r="C151">
        <v>75</v>
      </c>
      <c r="D151">
        <v>978.22110170383598</v>
      </c>
    </row>
    <row r="152" spans="1:4" hidden="1" x14ac:dyDescent="0.3">
      <c r="A152">
        <v>2022</v>
      </c>
      <c r="B152" s="171" t="s">
        <v>121</v>
      </c>
      <c r="C152">
        <v>80</v>
      </c>
      <c r="D152">
        <v>1030.23285762265</v>
      </c>
    </row>
    <row r="153" spans="1:4" hidden="1" x14ac:dyDescent="0.3">
      <c r="A153">
        <v>2022</v>
      </c>
      <c r="B153" s="171" t="s">
        <v>121</v>
      </c>
      <c r="C153">
        <v>85</v>
      </c>
      <c r="D153">
        <v>2508.56699700738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E1C1-0CCC-4911-9ACB-927E76C83F73}">
  <sheetPr>
    <tabColor rgb="FF00B050"/>
  </sheetPr>
  <dimension ref="A1:D955"/>
  <sheetViews>
    <sheetView workbookViewId="0">
      <selection activeCell="D902" sqref="D902:D903"/>
    </sheetView>
  </sheetViews>
  <sheetFormatPr baseColWidth="10" defaultRowHeight="14.4" x14ac:dyDescent="0.3"/>
  <cols>
    <col min="1" max="1" width="6.88671875" bestFit="1" customWidth="1"/>
    <col min="2" max="2" width="6.6640625" bestFit="1" customWidth="1"/>
    <col min="3" max="3" width="6.21875" bestFit="1" customWidth="1"/>
    <col min="4" max="4" width="12" bestFit="1" customWidth="1"/>
  </cols>
  <sheetData>
    <row r="1" spans="1:4" x14ac:dyDescent="0.3">
      <c r="A1" t="s">
        <v>116</v>
      </c>
      <c r="B1" t="s">
        <v>117</v>
      </c>
      <c r="C1" t="s">
        <v>118</v>
      </c>
      <c r="D1" t="s">
        <v>119</v>
      </c>
    </row>
    <row r="2" spans="1:4" hidden="1" x14ac:dyDescent="0.3">
      <c r="A2">
        <v>1990</v>
      </c>
      <c r="B2" s="171" t="s">
        <v>120</v>
      </c>
      <c r="C2">
        <v>0</v>
      </c>
      <c r="D2">
        <v>1.0230414746543799</v>
      </c>
    </row>
    <row r="3" spans="1:4" hidden="1" x14ac:dyDescent="0.3">
      <c r="A3">
        <v>1990</v>
      </c>
      <c r="B3" s="171" t="s">
        <v>120</v>
      </c>
      <c r="C3">
        <v>1</v>
      </c>
      <c r="D3">
        <v>1.0230414746543799</v>
      </c>
    </row>
    <row r="4" spans="1:4" hidden="1" x14ac:dyDescent="0.3">
      <c r="A4">
        <v>1990</v>
      </c>
      <c r="B4" s="171" t="s">
        <v>120</v>
      </c>
      <c r="C4">
        <v>10</v>
      </c>
      <c r="D4">
        <v>4.0921658986175098</v>
      </c>
    </row>
    <row r="5" spans="1:4" hidden="1" x14ac:dyDescent="0.3">
      <c r="A5">
        <v>1990</v>
      </c>
      <c r="B5" s="171" t="s">
        <v>120</v>
      </c>
      <c r="C5">
        <v>15</v>
      </c>
      <c r="D5">
        <v>33.760368663594498</v>
      </c>
    </row>
    <row r="6" spans="1:4" hidden="1" x14ac:dyDescent="0.3">
      <c r="A6">
        <v>1990</v>
      </c>
      <c r="B6" s="171" t="s">
        <v>120</v>
      </c>
      <c r="C6">
        <v>20</v>
      </c>
      <c r="D6">
        <v>26.599078341013801</v>
      </c>
    </row>
    <row r="7" spans="1:4" hidden="1" x14ac:dyDescent="0.3">
      <c r="A7">
        <v>1990</v>
      </c>
      <c r="B7" s="171" t="s">
        <v>120</v>
      </c>
      <c r="C7">
        <v>25</v>
      </c>
      <c r="D7">
        <v>30.691244239631299</v>
      </c>
    </row>
    <row r="8" spans="1:4" hidden="1" x14ac:dyDescent="0.3">
      <c r="A8">
        <v>1990</v>
      </c>
      <c r="B8" s="171" t="s">
        <v>120</v>
      </c>
      <c r="C8">
        <v>30</v>
      </c>
      <c r="D8">
        <v>22.506912442396299</v>
      </c>
    </row>
    <row r="9" spans="1:4" hidden="1" x14ac:dyDescent="0.3">
      <c r="A9">
        <v>1990</v>
      </c>
      <c r="B9" s="171" t="s">
        <v>120</v>
      </c>
      <c r="C9">
        <v>35</v>
      </c>
      <c r="D9">
        <v>27.622119815668199</v>
      </c>
    </row>
    <row r="10" spans="1:4" hidden="1" x14ac:dyDescent="0.3">
      <c r="A10">
        <v>1990</v>
      </c>
      <c r="B10" s="171" t="s">
        <v>120</v>
      </c>
      <c r="C10">
        <v>40</v>
      </c>
      <c r="D10">
        <v>14.322580645161301</v>
      </c>
    </row>
    <row r="11" spans="1:4" hidden="1" x14ac:dyDescent="0.3">
      <c r="A11">
        <v>1990</v>
      </c>
      <c r="B11" s="171" t="s">
        <v>120</v>
      </c>
      <c r="C11">
        <v>45</v>
      </c>
      <c r="D11">
        <v>15.345622119815699</v>
      </c>
    </row>
    <row r="12" spans="1:4" hidden="1" x14ac:dyDescent="0.3">
      <c r="A12">
        <v>1990</v>
      </c>
      <c r="B12" s="171" t="s">
        <v>120</v>
      </c>
      <c r="C12">
        <v>50</v>
      </c>
      <c r="D12">
        <v>11.253456221198199</v>
      </c>
    </row>
    <row r="13" spans="1:4" hidden="1" x14ac:dyDescent="0.3">
      <c r="A13">
        <v>1990</v>
      </c>
      <c r="B13" s="171" t="s">
        <v>120</v>
      </c>
      <c r="C13">
        <v>55</v>
      </c>
      <c r="D13">
        <v>11.253456221198199</v>
      </c>
    </row>
    <row r="14" spans="1:4" hidden="1" x14ac:dyDescent="0.3">
      <c r="A14">
        <v>1990</v>
      </c>
      <c r="B14" s="171" t="s">
        <v>120</v>
      </c>
      <c r="C14">
        <v>60</v>
      </c>
      <c r="D14">
        <v>6.1382488479262696</v>
      </c>
    </row>
    <row r="15" spans="1:4" hidden="1" x14ac:dyDescent="0.3">
      <c r="A15">
        <v>1990</v>
      </c>
      <c r="B15" s="171" t="s">
        <v>120</v>
      </c>
      <c r="C15">
        <v>65</v>
      </c>
      <c r="D15">
        <v>10.230414746543801</v>
      </c>
    </row>
    <row r="16" spans="1:4" hidden="1" x14ac:dyDescent="0.3">
      <c r="A16">
        <v>1990</v>
      </c>
      <c r="B16" s="171" t="s">
        <v>120</v>
      </c>
      <c r="C16">
        <v>70</v>
      </c>
      <c r="D16">
        <v>2.0460829493087598</v>
      </c>
    </row>
    <row r="17" spans="1:4" hidden="1" x14ac:dyDescent="0.3">
      <c r="A17">
        <v>1990</v>
      </c>
      <c r="B17" s="171" t="s">
        <v>120</v>
      </c>
      <c r="C17">
        <v>80</v>
      </c>
      <c r="D17">
        <v>2.0460829493087598</v>
      </c>
    </row>
    <row r="18" spans="1:4" hidden="1" x14ac:dyDescent="0.3">
      <c r="A18">
        <v>1990</v>
      </c>
      <c r="B18" s="171" t="s">
        <v>120</v>
      </c>
      <c r="C18">
        <v>85</v>
      </c>
      <c r="D18">
        <v>2.0460829493087598</v>
      </c>
    </row>
    <row r="19" spans="1:4" hidden="1" x14ac:dyDescent="0.3">
      <c r="A19">
        <v>1991</v>
      </c>
      <c r="B19" s="171" t="s">
        <v>120</v>
      </c>
      <c r="C19">
        <v>1</v>
      </c>
      <c r="D19">
        <v>1.0102040816326501</v>
      </c>
    </row>
    <row r="20" spans="1:4" hidden="1" x14ac:dyDescent="0.3">
      <c r="A20">
        <v>1991</v>
      </c>
      <c r="B20" s="171" t="s">
        <v>120</v>
      </c>
      <c r="C20">
        <v>5</v>
      </c>
      <c r="D20">
        <v>3.0306122448979602</v>
      </c>
    </row>
    <row r="21" spans="1:4" hidden="1" x14ac:dyDescent="0.3">
      <c r="A21">
        <v>1991</v>
      </c>
      <c r="B21" s="171" t="s">
        <v>120</v>
      </c>
      <c r="C21">
        <v>10</v>
      </c>
      <c r="D21">
        <v>4.0408163265306101</v>
      </c>
    </row>
    <row r="22" spans="1:4" hidden="1" x14ac:dyDescent="0.3">
      <c r="A22">
        <v>1991</v>
      </c>
      <c r="B22" s="171" t="s">
        <v>120</v>
      </c>
      <c r="C22">
        <v>15</v>
      </c>
      <c r="D22">
        <v>33.336734693877602</v>
      </c>
    </row>
    <row r="23" spans="1:4" hidden="1" x14ac:dyDescent="0.3">
      <c r="A23">
        <v>1991</v>
      </c>
      <c r="B23" s="171" t="s">
        <v>120</v>
      </c>
      <c r="C23">
        <v>20</v>
      </c>
      <c r="D23">
        <v>47.479591836734699</v>
      </c>
    </row>
    <row r="24" spans="1:4" hidden="1" x14ac:dyDescent="0.3">
      <c r="A24">
        <v>1991</v>
      </c>
      <c r="B24" s="171" t="s">
        <v>120</v>
      </c>
      <c r="C24">
        <v>25</v>
      </c>
      <c r="D24">
        <v>17.173469387755102</v>
      </c>
    </row>
    <row r="25" spans="1:4" hidden="1" x14ac:dyDescent="0.3">
      <c r="A25">
        <v>1991</v>
      </c>
      <c r="B25" s="171" t="s">
        <v>120</v>
      </c>
      <c r="C25">
        <v>30</v>
      </c>
      <c r="D25">
        <v>20.2040816326531</v>
      </c>
    </row>
    <row r="26" spans="1:4" hidden="1" x14ac:dyDescent="0.3">
      <c r="A26">
        <v>1991</v>
      </c>
      <c r="B26" s="171" t="s">
        <v>120</v>
      </c>
      <c r="C26">
        <v>35</v>
      </c>
      <c r="D26">
        <v>11.112244897959201</v>
      </c>
    </row>
    <row r="27" spans="1:4" hidden="1" x14ac:dyDescent="0.3">
      <c r="A27">
        <v>1991</v>
      </c>
      <c r="B27" s="171" t="s">
        <v>120</v>
      </c>
      <c r="C27">
        <v>40</v>
      </c>
      <c r="D27">
        <v>11.112244897959201</v>
      </c>
    </row>
    <row r="28" spans="1:4" hidden="1" x14ac:dyDescent="0.3">
      <c r="A28">
        <v>1991</v>
      </c>
      <c r="B28" s="171" t="s">
        <v>120</v>
      </c>
      <c r="C28">
        <v>45</v>
      </c>
      <c r="D28">
        <v>11.112244897959201</v>
      </c>
    </row>
    <row r="29" spans="1:4" hidden="1" x14ac:dyDescent="0.3">
      <c r="A29">
        <v>1991</v>
      </c>
      <c r="B29" s="171" t="s">
        <v>120</v>
      </c>
      <c r="C29">
        <v>50</v>
      </c>
      <c r="D29">
        <v>11.112244897959201</v>
      </c>
    </row>
    <row r="30" spans="1:4" hidden="1" x14ac:dyDescent="0.3">
      <c r="A30">
        <v>1991</v>
      </c>
      <c r="B30" s="171" t="s">
        <v>120</v>
      </c>
      <c r="C30">
        <v>55</v>
      </c>
      <c r="D30">
        <v>12.1224489795918</v>
      </c>
    </row>
    <row r="31" spans="1:4" hidden="1" x14ac:dyDescent="0.3">
      <c r="A31">
        <v>1991</v>
      </c>
      <c r="B31" s="171" t="s">
        <v>120</v>
      </c>
      <c r="C31">
        <v>60</v>
      </c>
      <c r="D31">
        <v>5.0510204081632697</v>
      </c>
    </row>
    <row r="32" spans="1:4" hidden="1" x14ac:dyDescent="0.3">
      <c r="A32">
        <v>1991</v>
      </c>
      <c r="B32" s="171" t="s">
        <v>120</v>
      </c>
      <c r="C32">
        <v>65</v>
      </c>
      <c r="D32">
        <v>3.0306122448979602</v>
      </c>
    </row>
    <row r="33" spans="1:4" hidden="1" x14ac:dyDescent="0.3">
      <c r="A33">
        <v>1991</v>
      </c>
      <c r="B33" s="171" t="s">
        <v>120</v>
      </c>
      <c r="C33">
        <v>70</v>
      </c>
      <c r="D33">
        <v>4.0408163265306101</v>
      </c>
    </row>
    <row r="34" spans="1:4" hidden="1" x14ac:dyDescent="0.3">
      <c r="A34">
        <v>1991</v>
      </c>
      <c r="B34" s="171" t="s">
        <v>120</v>
      </c>
      <c r="C34">
        <v>80</v>
      </c>
      <c r="D34">
        <v>2.0204081632653099</v>
      </c>
    </row>
    <row r="35" spans="1:4" hidden="1" x14ac:dyDescent="0.3">
      <c r="A35">
        <v>1991</v>
      </c>
      <c r="B35" s="171" t="s">
        <v>120</v>
      </c>
      <c r="C35">
        <v>85</v>
      </c>
      <c r="D35">
        <v>1.0102040816326501</v>
      </c>
    </row>
    <row r="36" spans="1:4" hidden="1" x14ac:dyDescent="0.3">
      <c r="A36">
        <v>1992</v>
      </c>
      <c r="B36" s="171" t="s">
        <v>120</v>
      </c>
      <c r="C36">
        <v>0</v>
      </c>
      <c r="D36">
        <v>2.0157480314960599</v>
      </c>
    </row>
    <row r="37" spans="1:4" hidden="1" x14ac:dyDescent="0.3">
      <c r="A37">
        <v>1992</v>
      </c>
      <c r="B37" s="171" t="s">
        <v>120</v>
      </c>
      <c r="C37">
        <v>1</v>
      </c>
      <c r="D37">
        <v>2.0157480314960599</v>
      </c>
    </row>
    <row r="38" spans="1:4" hidden="1" x14ac:dyDescent="0.3">
      <c r="A38">
        <v>1992</v>
      </c>
      <c r="B38" s="171" t="s">
        <v>120</v>
      </c>
      <c r="C38">
        <v>5</v>
      </c>
      <c r="D38">
        <v>0</v>
      </c>
    </row>
    <row r="39" spans="1:4" hidden="1" x14ac:dyDescent="0.3">
      <c r="A39">
        <v>1992</v>
      </c>
      <c r="B39" s="171" t="s">
        <v>120</v>
      </c>
      <c r="C39">
        <v>10</v>
      </c>
      <c r="D39">
        <v>2.0157480314960599</v>
      </c>
    </row>
    <row r="40" spans="1:4" hidden="1" x14ac:dyDescent="0.3">
      <c r="A40">
        <v>1992</v>
      </c>
      <c r="B40" s="171" t="s">
        <v>120</v>
      </c>
      <c r="C40">
        <v>15</v>
      </c>
      <c r="D40">
        <v>40.314960629921302</v>
      </c>
    </row>
    <row r="41" spans="1:4" hidden="1" x14ac:dyDescent="0.3">
      <c r="A41">
        <v>1992</v>
      </c>
      <c r="B41" s="171" t="s">
        <v>120</v>
      </c>
      <c r="C41">
        <v>20</v>
      </c>
      <c r="D41">
        <v>57.4488188976378</v>
      </c>
    </row>
    <row r="42" spans="1:4" hidden="1" x14ac:dyDescent="0.3">
      <c r="A42">
        <v>1992</v>
      </c>
      <c r="B42" s="171" t="s">
        <v>120</v>
      </c>
      <c r="C42">
        <v>25</v>
      </c>
      <c r="D42">
        <v>28.220472440944899</v>
      </c>
    </row>
    <row r="43" spans="1:4" hidden="1" x14ac:dyDescent="0.3">
      <c r="A43">
        <v>1992</v>
      </c>
      <c r="B43" s="171" t="s">
        <v>120</v>
      </c>
      <c r="C43">
        <v>30</v>
      </c>
      <c r="D43">
        <v>26.204724409448801</v>
      </c>
    </row>
    <row r="44" spans="1:4" hidden="1" x14ac:dyDescent="0.3">
      <c r="A44">
        <v>1992</v>
      </c>
      <c r="B44" s="171" t="s">
        <v>120</v>
      </c>
      <c r="C44">
        <v>35</v>
      </c>
      <c r="D44">
        <v>14.1102362204724</v>
      </c>
    </row>
    <row r="45" spans="1:4" hidden="1" x14ac:dyDescent="0.3">
      <c r="A45">
        <v>1992</v>
      </c>
      <c r="B45" s="171" t="s">
        <v>120</v>
      </c>
      <c r="C45">
        <v>40</v>
      </c>
      <c r="D45">
        <v>13.1023622047244</v>
      </c>
    </row>
    <row r="46" spans="1:4" hidden="1" x14ac:dyDescent="0.3">
      <c r="A46">
        <v>1992</v>
      </c>
      <c r="B46" s="171" t="s">
        <v>120</v>
      </c>
      <c r="C46">
        <v>45</v>
      </c>
      <c r="D46">
        <v>16.1259842519685</v>
      </c>
    </row>
    <row r="47" spans="1:4" hidden="1" x14ac:dyDescent="0.3">
      <c r="A47">
        <v>1992</v>
      </c>
      <c r="B47" s="171" t="s">
        <v>120</v>
      </c>
      <c r="C47">
        <v>50</v>
      </c>
      <c r="D47">
        <v>22.1732283464567</v>
      </c>
    </row>
    <row r="48" spans="1:4" hidden="1" x14ac:dyDescent="0.3">
      <c r="A48">
        <v>1992</v>
      </c>
      <c r="B48" s="171" t="s">
        <v>120</v>
      </c>
      <c r="C48">
        <v>55</v>
      </c>
      <c r="D48">
        <v>8.0629921259842501</v>
      </c>
    </row>
    <row r="49" spans="1:4" hidden="1" x14ac:dyDescent="0.3">
      <c r="A49">
        <v>1992</v>
      </c>
      <c r="B49" s="171" t="s">
        <v>120</v>
      </c>
      <c r="C49">
        <v>60</v>
      </c>
      <c r="D49">
        <v>5.0393700787401601</v>
      </c>
    </row>
    <row r="50" spans="1:4" hidden="1" x14ac:dyDescent="0.3">
      <c r="A50">
        <v>1992</v>
      </c>
      <c r="B50" s="171" t="s">
        <v>120</v>
      </c>
      <c r="C50">
        <v>65</v>
      </c>
      <c r="D50">
        <v>8.0629921259842501</v>
      </c>
    </row>
    <row r="51" spans="1:4" hidden="1" x14ac:dyDescent="0.3">
      <c r="A51">
        <v>1992</v>
      </c>
      <c r="B51" s="171" t="s">
        <v>120</v>
      </c>
      <c r="C51">
        <v>70</v>
      </c>
      <c r="D51">
        <v>4.0314960629921304</v>
      </c>
    </row>
    <row r="52" spans="1:4" hidden="1" x14ac:dyDescent="0.3">
      <c r="A52">
        <v>1992</v>
      </c>
      <c r="B52" s="171" t="s">
        <v>120</v>
      </c>
      <c r="C52">
        <v>75</v>
      </c>
      <c r="D52">
        <v>4.0314960629921304</v>
      </c>
    </row>
    <row r="53" spans="1:4" hidden="1" x14ac:dyDescent="0.3">
      <c r="A53">
        <v>1992</v>
      </c>
      <c r="B53" s="171" t="s">
        <v>120</v>
      </c>
      <c r="C53">
        <v>80</v>
      </c>
      <c r="D53">
        <v>2.0157480314960599</v>
      </c>
    </row>
    <row r="54" spans="1:4" hidden="1" x14ac:dyDescent="0.3">
      <c r="A54">
        <v>1992</v>
      </c>
      <c r="B54" s="171" t="s">
        <v>120</v>
      </c>
      <c r="C54">
        <v>85</v>
      </c>
      <c r="D54">
        <v>1.0078740157480299</v>
      </c>
    </row>
    <row r="55" spans="1:4" hidden="1" x14ac:dyDescent="0.3">
      <c r="A55">
        <v>1993</v>
      </c>
      <c r="B55" s="171" t="s">
        <v>120</v>
      </c>
      <c r="C55">
        <v>1</v>
      </c>
      <c r="D55">
        <v>2.05714285714286</v>
      </c>
    </row>
    <row r="56" spans="1:4" hidden="1" x14ac:dyDescent="0.3">
      <c r="A56">
        <v>1993</v>
      </c>
      <c r="B56" s="171" t="s">
        <v>120</v>
      </c>
      <c r="C56">
        <v>5</v>
      </c>
      <c r="D56">
        <v>1.02857142857143</v>
      </c>
    </row>
    <row r="57" spans="1:4" hidden="1" x14ac:dyDescent="0.3">
      <c r="A57">
        <v>1993</v>
      </c>
      <c r="B57" s="171" t="s">
        <v>120</v>
      </c>
      <c r="C57">
        <v>10</v>
      </c>
      <c r="D57">
        <v>4.1142857142857103</v>
      </c>
    </row>
    <row r="58" spans="1:4" hidden="1" x14ac:dyDescent="0.3">
      <c r="A58">
        <v>1993</v>
      </c>
      <c r="B58" s="171" t="s">
        <v>120</v>
      </c>
      <c r="C58">
        <v>15</v>
      </c>
      <c r="D58">
        <v>30.8571428571429</v>
      </c>
    </row>
    <row r="59" spans="1:4" hidden="1" x14ac:dyDescent="0.3">
      <c r="A59">
        <v>1993</v>
      </c>
      <c r="B59" s="171" t="s">
        <v>120</v>
      </c>
      <c r="C59">
        <v>20</v>
      </c>
      <c r="D59">
        <v>48.342857142857099</v>
      </c>
    </row>
    <row r="60" spans="1:4" hidden="1" x14ac:dyDescent="0.3">
      <c r="A60">
        <v>1993</v>
      </c>
      <c r="B60" s="171" t="s">
        <v>120</v>
      </c>
      <c r="C60">
        <v>25</v>
      </c>
      <c r="D60">
        <v>19.542857142857098</v>
      </c>
    </row>
    <row r="61" spans="1:4" hidden="1" x14ac:dyDescent="0.3">
      <c r="A61">
        <v>1993</v>
      </c>
      <c r="B61" s="171" t="s">
        <v>120</v>
      </c>
      <c r="C61">
        <v>30</v>
      </c>
      <c r="D61">
        <v>21.6</v>
      </c>
    </row>
    <row r="62" spans="1:4" hidden="1" x14ac:dyDescent="0.3">
      <c r="A62">
        <v>1993</v>
      </c>
      <c r="B62" s="171" t="s">
        <v>120</v>
      </c>
      <c r="C62">
        <v>35</v>
      </c>
      <c r="D62">
        <v>22.628571428571401</v>
      </c>
    </row>
    <row r="63" spans="1:4" hidden="1" x14ac:dyDescent="0.3">
      <c r="A63">
        <v>1993</v>
      </c>
      <c r="B63" s="171" t="s">
        <v>120</v>
      </c>
      <c r="C63">
        <v>40</v>
      </c>
      <c r="D63">
        <v>14.4</v>
      </c>
    </row>
    <row r="64" spans="1:4" hidden="1" x14ac:dyDescent="0.3">
      <c r="A64">
        <v>1993</v>
      </c>
      <c r="B64" s="171" t="s">
        <v>120</v>
      </c>
      <c r="C64">
        <v>45</v>
      </c>
      <c r="D64">
        <v>16.457142857142902</v>
      </c>
    </row>
    <row r="65" spans="1:4" hidden="1" x14ac:dyDescent="0.3">
      <c r="A65">
        <v>1993</v>
      </c>
      <c r="B65" s="171" t="s">
        <v>120</v>
      </c>
      <c r="C65">
        <v>50</v>
      </c>
      <c r="D65">
        <v>11.314285714285701</v>
      </c>
    </row>
    <row r="66" spans="1:4" hidden="1" x14ac:dyDescent="0.3">
      <c r="A66">
        <v>1993</v>
      </c>
      <c r="B66" s="171" t="s">
        <v>120</v>
      </c>
      <c r="C66">
        <v>55</v>
      </c>
      <c r="D66">
        <v>7.2</v>
      </c>
    </row>
    <row r="67" spans="1:4" hidden="1" x14ac:dyDescent="0.3">
      <c r="A67">
        <v>1993</v>
      </c>
      <c r="B67" s="171" t="s">
        <v>120</v>
      </c>
      <c r="C67">
        <v>60</v>
      </c>
      <c r="D67">
        <v>5.1428571428571397</v>
      </c>
    </row>
    <row r="68" spans="1:4" hidden="1" x14ac:dyDescent="0.3">
      <c r="A68">
        <v>1993</v>
      </c>
      <c r="B68" s="171" t="s">
        <v>120</v>
      </c>
      <c r="C68">
        <v>65</v>
      </c>
      <c r="D68">
        <v>8.2285714285714295</v>
      </c>
    </row>
    <row r="69" spans="1:4" hidden="1" x14ac:dyDescent="0.3">
      <c r="A69">
        <v>1993</v>
      </c>
      <c r="B69" s="171" t="s">
        <v>120</v>
      </c>
      <c r="C69">
        <v>70</v>
      </c>
      <c r="D69">
        <v>3.0857142857142899</v>
      </c>
    </row>
    <row r="70" spans="1:4" hidden="1" x14ac:dyDescent="0.3">
      <c r="A70">
        <v>1993</v>
      </c>
      <c r="B70" s="171" t="s">
        <v>120</v>
      </c>
      <c r="C70">
        <v>80</v>
      </c>
      <c r="D70">
        <v>0</v>
      </c>
    </row>
    <row r="71" spans="1:4" hidden="1" x14ac:dyDescent="0.3">
      <c r="A71">
        <v>1994</v>
      </c>
      <c r="B71" s="171" t="s">
        <v>120</v>
      </c>
      <c r="C71">
        <v>5</v>
      </c>
      <c r="D71">
        <v>4.0180180180180196</v>
      </c>
    </row>
    <row r="72" spans="1:4" hidden="1" x14ac:dyDescent="0.3">
      <c r="A72">
        <v>1994</v>
      </c>
      <c r="B72" s="171" t="s">
        <v>120</v>
      </c>
      <c r="C72">
        <v>10</v>
      </c>
      <c r="D72">
        <v>2.0090090090090098</v>
      </c>
    </row>
    <row r="73" spans="1:4" hidden="1" x14ac:dyDescent="0.3">
      <c r="A73">
        <v>1994</v>
      </c>
      <c r="B73" s="171" t="s">
        <v>120</v>
      </c>
      <c r="C73">
        <v>15</v>
      </c>
      <c r="D73">
        <v>37.1666666666667</v>
      </c>
    </row>
    <row r="74" spans="1:4" hidden="1" x14ac:dyDescent="0.3">
      <c r="A74">
        <v>1994</v>
      </c>
      <c r="B74" s="171" t="s">
        <v>120</v>
      </c>
      <c r="C74">
        <v>20</v>
      </c>
      <c r="D74">
        <v>31.139639639639601</v>
      </c>
    </row>
    <row r="75" spans="1:4" hidden="1" x14ac:dyDescent="0.3">
      <c r="A75">
        <v>1994</v>
      </c>
      <c r="B75" s="171" t="s">
        <v>120</v>
      </c>
      <c r="C75">
        <v>25</v>
      </c>
      <c r="D75">
        <v>31.139639639639601</v>
      </c>
    </row>
    <row r="76" spans="1:4" hidden="1" x14ac:dyDescent="0.3">
      <c r="A76">
        <v>1994</v>
      </c>
      <c r="B76" s="171" t="s">
        <v>120</v>
      </c>
      <c r="C76">
        <v>30</v>
      </c>
      <c r="D76">
        <v>31.139639639639601</v>
      </c>
    </row>
    <row r="77" spans="1:4" hidden="1" x14ac:dyDescent="0.3">
      <c r="A77">
        <v>1994</v>
      </c>
      <c r="B77" s="171" t="s">
        <v>120</v>
      </c>
      <c r="C77">
        <v>35</v>
      </c>
      <c r="D77">
        <v>18.081081081081098</v>
      </c>
    </row>
    <row r="78" spans="1:4" hidden="1" x14ac:dyDescent="0.3">
      <c r="A78">
        <v>1994</v>
      </c>
      <c r="B78" s="171" t="s">
        <v>120</v>
      </c>
      <c r="C78">
        <v>40</v>
      </c>
      <c r="D78">
        <v>19.085585585585601</v>
      </c>
    </row>
    <row r="79" spans="1:4" hidden="1" x14ac:dyDescent="0.3">
      <c r="A79">
        <v>1994</v>
      </c>
      <c r="B79" s="171" t="s">
        <v>120</v>
      </c>
      <c r="C79">
        <v>45</v>
      </c>
      <c r="D79">
        <v>15.0675675675676</v>
      </c>
    </row>
    <row r="80" spans="1:4" hidden="1" x14ac:dyDescent="0.3">
      <c r="A80">
        <v>1994</v>
      </c>
      <c r="B80" s="171" t="s">
        <v>120</v>
      </c>
      <c r="C80">
        <v>50</v>
      </c>
      <c r="D80">
        <v>12.054054054054101</v>
      </c>
    </row>
    <row r="81" spans="1:4" hidden="1" x14ac:dyDescent="0.3">
      <c r="A81">
        <v>1994</v>
      </c>
      <c r="B81" s="171" t="s">
        <v>120</v>
      </c>
      <c r="C81">
        <v>55</v>
      </c>
      <c r="D81">
        <v>6.0270270270270299</v>
      </c>
    </row>
    <row r="82" spans="1:4" hidden="1" x14ac:dyDescent="0.3">
      <c r="A82">
        <v>1994</v>
      </c>
      <c r="B82" s="171" t="s">
        <v>120</v>
      </c>
      <c r="C82">
        <v>60</v>
      </c>
      <c r="D82">
        <v>5.0225225225225198</v>
      </c>
    </row>
    <row r="83" spans="1:4" hidden="1" x14ac:dyDescent="0.3">
      <c r="A83">
        <v>1994</v>
      </c>
      <c r="B83" s="171" t="s">
        <v>120</v>
      </c>
      <c r="C83">
        <v>65</v>
      </c>
      <c r="D83">
        <v>1.0045045045045</v>
      </c>
    </row>
    <row r="84" spans="1:4" hidden="1" x14ac:dyDescent="0.3">
      <c r="A84">
        <v>1994</v>
      </c>
      <c r="B84" s="171" t="s">
        <v>120</v>
      </c>
      <c r="C84">
        <v>70</v>
      </c>
      <c r="D84">
        <v>6.0270270270270299</v>
      </c>
    </row>
    <row r="85" spans="1:4" hidden="1" x14ac:dyDescent="0.3">
      <c r="A85">
        <v>1994</v>
      </c>
      <c r="B85" s="171" t="s">
        <v>120</v>
      </c>
      <c r="C85">
        <v>75</v>
      </c>
      <c r="D85">
        <v>2.0090090090090098</v>
      </c>
    </row>
    <row r="86" spans="1:4" hidden="1" x14ac:dyDescent="0.3">
      <c r="A86">
        <v>1994</v>
      </c>
      <c r="B86" s="171" t="s">
        <v>120</v>
      </c>
      <c r="C86">
        <v>80</v>
      </c>
      <c r="D86">
        <v>1.0045045045045</v>
      </c>
    </row>
    <row r="87" spans="1:4" hidden="1" x14ac:dyDescent="0.3">
      <c r="A87">
        <v>1994</v>
      </c>
      <c r="B87" s="171" t="s">
        <v>120</v>
      </c>
      <c r="C87">
        <v>85</v>
      </c>
      <c r="D87">
        <v>1.0045045045045</v>
      </c>
    </row>
    <row r="88" spans="1:4" hidden="1" x14ac:dyDescent="0.3">
      <c r="A88">
        <v>1995</v>
      </c>
      <c r="B88" s="171" t="s">
        <v>120</v>
      </c>
      <c r="C88">
        <v>0</v>
      </c>
      <c r="D88">
        <v>0</v>
      </c>
    </row>
    <row r="89" spans="1:4" hidden="1" x14ac:dyDescent="0.3">
      <c r="A89">
        <v>1995</v>
      </c>
      <c r="B89" s="171" t="s">
        <v>120</v>
      </c>
      <c r="C89">
        <v>1</v>
      </c>
      <c r="D89">
        <v>1.0054644808743201</v>
      </c>
    </row>
    <row r="90" spans="1:4" hidden="1" x14ac:dyDescent="0.3">
      <c r="A90">
        <v>1995</v>
      </c>
      <c r="B90" s="171" t="s">
        <v>120</v>
      </c>
      <c r="C90">
        <v>5</v>
      </c>
      <c r="D90">
        <v>0</v>
      </c>
    </row>
    <row r="91" spans="1:4" hidden="1" x14ac:dyDescent="0.3">
      <c r="A91">
        <v>1995</v>
      </c>
      <c r="B91" s="171" t="s">
        <v>120</v>
      </c>
      <c r="C91">
        <v>10</v>
      </c>
      <c r="D91">
        <v>3.0163934426229502</v>
      </c>
    </row>
    <row r="92" spans="1:4" hidden="1" x14ac:dyDescent="0.3">
      <c r="A92">
        <v>1995</v>
      </c>
      <c r="B92" s="171" t="s">
        <v>120</v>
      </c>
      <c r="C92">
        <v>15</v>
      </c>
      <c r="D92">
        <v>24.131147540983601</v>
      </c>
    </row>
    <row r="93" spans="1:4" hidden="1" x14ac:dyDescent="0.3">
      <c r="A93">
        <v>1995</v>
      </c>
      <c r="B93" s="171" t="s">
        <v>120</v>
      </c>
      <c r="C93">
        <v>20</v>
      </c>
      <c r="D93">
        <v>42.229508196721298</v>
      </c>
    </row>
    <row r="94" spans="1:4" hidden="1" x14ac:dyDescent="0.3">
      <c r="A94">
        <v>1995</v>
      </c>
      <c r="B94" s="171" t="s">
        <v>120</v>
      </c>
      <c r="C94">
        <v>25</v>
      </c>
      <c r="D94">
        <v>27.1475409836066</v>
      </c>
    </row>
    <row r="95" spans="1:4" hidden="1" x14ac:dyDescent="0.3">
      <c r="A95">
        <v>1995</v>
      </c>
      <c r="B95" s="171" t="s">
        <v>120</v>
      </c>
      <c r="C95">
        <v>30</v>
      </c>
      <c r="D95">
        <v>11.0601092896175</v>
      </c>
    </row>
    <row r="96" spans="1:4" hidden="1" x14ac:dyDescent="0.3">
      <c r="A96">
        <v>1995</v>
      </c>
      <c r="B96" s="171" t="s">
        <v>120</v>
      </c>
      <c r="C96">
        <v>35</v>
      </c>
      <c r="D96">
        <v>16.0874316939891</v>
      </c>
    </row>
    <row r="97" spans="1:4" hidden="1" x14ac:dyDescent="0.3">
      <c r="A97">
        <v>1995</v>
      </c>
      <c r="B97" s="171" t="s">
        <v>120</v>
      </c>
      <c r="C97">
        <v>40</v>
      </c>
      <c r="D97">
        <v>14.076502732240399</v>
      </c>
    </row>
    <row r="98" spans="1:4" hidden="1" x14ac:dyDescent="0.3">
      <c r="A98">
        <v>1995</v>
      </c>
      <c r="B98" s="171" t="s">
        <v>120</v>
      </c>
      <c r="C98">
        <v>45</v>
      </c>
      <c r="D98">
        <v>11.0601092896175</v>
      </c>
    </row>
    <row r="99" spans="1:4" hidden="1" x14ac:dyDescent="0.3">
      <c r="A99">
        <v>1995</v>
      </c>
      <c r="B99" s="171" t="s">
        <v>120</v>
      </c>
      <c r="C99">
        <v>50</v>
      </c>
      <c r="D99">
        <v>6.0327868852459003</v>
      </c>
    </row>
    <row r="100" spans="1:4" hidden="1" x14ac:dyDescent="0.3">
      <c r="A100">
        <v>1995</v>
      </c>
      <c r="B100" s="171" t="s">
        <v>120</v>
      </c>
      <c r="C100">
        <v>55</v>
      </c>
      <c r="D100">
        <v>11.0601092896175</v>
      </c>
    </row>
    <row r="101" spans="1:4" hidden="1" x14ac:dyDescent="0.3">
      <c r="A101">
        <v>1995</v>
      </c>
      <c r="B101" s="171" t="s">
        <v>120</v>
      </c>
      <c r="C101">
        <v>60</v>
      </c>
      <c r="D101">
        <v>5.0273224043715796</v>
      </c>
    </row>
    <row r="102" spans="1:4" hidden="1" x14ac:dyDescent="0.3">
      <c r="A102">
        <v>1995</v>
      </c>
      <c r="B102" s="171" t="s">
        <v>120</v>
      </c>
      <c r="C102">
        <v>65</v>
      </c>
      <c r="D102">
        <v>9.0491803278688501</v>
      </c>
    </row>
    <row r="103" spans="1:4" hidden="1" x14ac:dyDescent="0.3">
      <c r="A103">
        <v>1995</v>
      </c>
      <c r="B103" s="171" t="s">
        <v>120</v>
      </c>
      <c r="C103">
        <v>75</v>
      </c>
      <c r="D103">
        <v>3.0163934426229502</v>
      </c>
    </row>
    <row r="104" spans="1:4" hidden="1" x14ac:dyDescent="0.3">
      <c r="A104">
        <v>1996</v>
      </c>
      <c r="B104" s="171" t="s">
        <v>120</v>
      </c>
      <c r="C104">
        <v>5</v>
      </c>
      <c r="D104">
        <v>3.0157894736842099</v>
      </c>
    </row>
    <row r="105" spans="1:4" hidden="1" x14ac:dyDescent="0.3">
      <c r="A105">
        <v>1996</v>
      </c>
      <c r="B105" s="171" t="s">
        <v>120</v>
      </c>
      <c r="C105">
        <v>10</v>
      </c>
      <c r="D105">
        <v>2.0105263157894702</v>
      </c>
    </row>
    <row r="106" spans="1:4" hidden="1" x14ac:dyDescent="0.3">
      <c r="A106">
        <v>1996</v>
      </c>
      <c r="B106" s="171" t="s">
        <v>120</v>
      </c>
      <c r="C106">
        <v>15</v>
      </c>
      <c r="D106">
        <v>24.126315789473701</v>
      </c>
    </row>
    <row r="107" spans="1:4" hidden="1" x14ac:dyDescent="0.3">
      <c r="A107">
        <v>1996</v>
      </c>
      <c r="B107" s="171" t="s">
        <v>120</v>
      </c>
      <c r="C107">
        <v>20</v>
      </c>
      <c r="D107">
        <v>37.1947368421053</v>
      </c>
    </row>
    <row r="108" spans="1:4" hidden="1" x14ac:dyDescent="0.3">
      <c r="A108">
        <v>1996</v>
      </c>
      <c r="B108" s="171" t="s">
        <v>120</v>
      </c>
      <c r="C108">
        <v>25</v>
      </c>
      <c r="D108">
        <v>23.121052631578898</v>
      </c>
    </row>
    <row r="109" spans="1:4" hidden="1" x14ac:dyDescent="0.3">
      <c r="A109">
        <v>1996</v>
      </c>
      <c r="B109" s="171" t="s">
        <v>120</v>
      </c>
      <c r="C109">
        <v>30</v>
      </c>
      <c r="D109">
        <v>12.063157894736801</v>
      </c>
    </row>
    <row r="110" spans="1:4" hidden="1" x14ac:dyDescent="0.3">
      <c r="A110">
        <v>1996</v>
      </c>
      <c r="B110" s="171" t="s">
        <v>120</v>
      </c>
      <c r="C110">
        <v>35</v>
      </c>
      <c r="D110">
        <v>19.100000000000001</v>
      </c>
    </row>
    <row r="111" spans="1:4" hidden="1" x14ac:dyDescent="0.3">
      <c r="A111">
        <v>1996</v>
      </c>
      <c r="B111" s="171" t="s">
        <v>120</v>
      </c>
      <c r="C111">
        <v>40</v>
      </c>
      <c r="D111">
        <v>20.105263157894701</v>
      </c>
    </row>
    <row r="112" spans="1:4" hidden="1" x14ac:dyDescent="0.3">
      <c r="A112">
        <v>1996</v>
      </c>
      <c r="B112" s="171" t="s">
        <v>120</v>
      </c>
      <c r="C112">
        <v>45</v>
      </c>
      <c r="D112">
        <v>14.0736842105263</v>
      </c>
    </row>
    <row r="113" spans="1:4" hidden="1" x14ac:dyDescent="0.3">
      <c r="A113">
        <v>1996</v>
      </c>
      <c r="B113" s="171" t="s">
        <v>120</v>
      </c>
      <c r="C113">
        <v>50</v>
      </c>
      <c r="D113">
        <v>12.063157894736801</v>
      </c>
    </row>
    <row r="114" spans="1:4" hidden="1" x14ac:dyDescent="0.3">
      <c r="A114">
        <v>1996</v>
      </c>
      <c r="B114" s="171" t="s">
        <v>120</v>
      </c>
      <c r="C114">
        <v>55</v>
      </c>
      <c r="D114">
        <v>9.0473684210526297</v>
      </c>
    </row>
    <row r="115" spans="1:4" hidden="1" x14ac:dyDescent="0.3">
      <c r="A115">
        <v>1996</v>
      </c>
      <c r="B115" s="171" t="s">
        <v>120</v>
      </c>
      <c r="C115">
        <v>60</v>
      </c>
      <c r="D115">
        <v>3.0157894736842099</v>
      </c>
    </row>
    <row r="116" spans="1:4" hidden="1" x14ac:dyDescent="0.3">
      <c r="A116">
        <v>1996</v>
      </c>
      <c r="B116" s="171" t="s">
        <v>120</v>
      </c>
      <c r="C116">
        <v>65</v>
      </c>
      <c r="D116">
        <v>2.0105263157894702</v>
      </c>
    </row>
    <row r="117" spans="1:4" hidden="1" x14ac:dyDescent="0.3">
      <c r="A117">
        <v>1996</v>
      </c>
      <c r="B117" s="171" t="s">
        <v>120</v>
      </c>
      <c r="C117">
        <v>70</v>
      </c>
      <c r="D117">
        <v>5.0263157894736796</v>
      </c>
    </row>
    <row r="118" spans="1:4" hidden="1" x14ac:dyDescent="0.3">
      <c r="A118">
        <v>1996</v>
      </c>
      <c r="B118" s="171" t="s">
        <v>120</v>
      </c>
      <c r="C118">
        <v>75</v>
      </c>
      <c r="D118">
        <v>2.0105263157894702</v>
      </c>
    </row>
    <row r="119" spans="1:4" hidden="1" x14ac:dyDescent="0.3">
      <c r="A119">
        <v>1996</v>
      </c>
      <c r="B119" s="171" t="s">
        <v>120</v>
      </c>
      <c r="C119">
        <v>80</v>
      </c>
      <c r="D119">
        <v>1.00526315789474</v>
      </c>
    </row>
    <row r="120" spans="1:4" hidden="1" x14ac:dyDescent="0.3">
      <c r="A120">
        <v>1996</v>
      </c>
      <c r="B120" s="171" t="s">
        <v>120</v>
      </c>
      <c r="C120">
        <v>85</v>
      </c>
      <c r="D120">
        <v>2.0105263157894702</v>
      </c>
    </row>
    <row r="121" spans="1:4" hidden="1" x14ac:dyDescent="0.3">
      <c r="A121">
        <v>1998</v>
      </c>
      <c r="B121" s="171" t="s">
        <v>120</v>
      </c>
      <c r="C121">
        <v>1</v>
      </c>
      <c r="D121">
        <v>3.0107526881720399</v>
      </c>
    </row>
    <row r="122" spans="1:4" hidden="1" x14ac:dyDescent="0.3">
      <c r="A122">
        <v>1998</v>
      </c>
      <c r="B122" s="171" t="s">
        <v>120</v>
      </c>
      <c r="C122">
        <v>5</v>
      </c>
      <c r="D122">
        <v>4.0143369175627202</v>
      </c>
    </row>
    <row r="123" spans="1:4" hidden="1" x14ac:dyDescent="0.3">
      <c r="A123">
        <v>1998</v>
      </c>
      <c r="B123" s="171" t="s">
        <v>120</v>
      </c>
      <c r="C123">
        <v>10</v>
      </c>
      <c r="D123">
        <v>10.0358422939068</v>
      </c>
    </row>
    <row r="124" spans="1:4" hidden="1" x14ac:dyDescent="0.3">
      <c r="A124">
        <v>1998</v>
      </c>
      <c r="B124" s="171" t="s">
        <v>120</v>
      </c>
      <c r="C124">
        <v>15</v>
      </c>
      <c r="D124">
        <v>36.129032258064498</v>
      </c>
    </row>
    <row r="125" spans="1:4" hidden="1" x14ac:dyDescent="0.3">
      <c r="A125">
        <v>1998</v>
      </c>
      <c r="B125" s="171" t="s">
        <v>120</v>
      </c>
      <c r="C125">
        <v>20</v>
      </c>
      <c r="D125">
        <v>44.157706093190001</v>
      </c>
    </row>
    <row r="126" spans="1:4" hidden="1" x14ac:dyDescent="0.3">
      <c r="A126">
        <v>1998</v>
      </c>
      <c r="B126" s="171" t="s">
        <v>120</v>
      </c>
      <c r="C126">
        <v>25</v>
      </c>
      <c r="D126">
        <v>36.129032258064498</v>
      </c>
    </row>
    <row r="127" spans="1:4" hidden="1" x14ac:dyDescent="0.3">
      <c r="A127">
        <v>1998</v>
      </c>
      <c r="B127" s="171" t="s">
        <v>120</v>
      </c>
      <c r="C127">
        <v>30</v>
      </c>
      <c r="D127">
        <v>14.0501792114695</v>
      </c>
    </row>
    <row r="128" spans="1:4" hidden="1" x14ac:dyDescent="0.3">
      <c r="A128">
        <v>1998</v>
      </c>
      <c r="B128" s="171" t="s">
        <v>120</v>
      </c>
      <c r="C128">
        <v>35</v>
      </c>
      <c r="D128">
        <v>31.1111111111111</v>
      </c>
    </row>
    <row r="129" spans="1:4" hidden="1" x14ac:dyDescent="0.3">
      <c r="A129">
        <v>1998</v>
      </c>
      <c r="B129" s="171" t="s">
        <v>120</v>
      </c>
      <c r="C129">
        <v>40</v>
      </c>
      <c r="D129">
        <v>20.0716845878136</v>
      </c>
    </row>
    <row r="130" spans="1:4" hidden="1" x14ac:dyDescent="0.3">
      <c r="A130">
        <v>1998</v>
      </c>
      <c r="B130" s="171" t="s">
        <v>120</v>
      </c>
      <c r="C130">
        <v>45</v>
      </c>
      <c r="D130">
        <v>15.0537634408602</v>
      </c>
    </row>
    <row r="131" spans="1:4" hidden="1" x14ac:dyDescent="0.3">
      <c r="A131">
        <v>1998</v>
      </c>
      <c r="B131" s="171" t="s">
        <v>120</v>
      </c>
      <c r="C131">
        <v>50</v>
      </c>
      <c r="D131">
        <v>7.0250896057347703</v>
      </c>
    </row>
    <row r="132" spans="1:4" hidden="1" x14ac:dyDescent="0.3">
      <c r="A132">
        <v>1998</v>
      </c>
      <c r="B132" s="171" t="s">
        <v>120</v>
      </c>
      <c r="C132">
        <v>55</v>
      </c>
      <c r="D132">
        <v>15.0537634408602</v>
      </c>
    </row>
    <row r="133" spans="1:4" hidden="1" x14ac:dyDescent="0.3">
      <c r="A133">
        <v>1998</v>
      </c>
      <c r="B133" s="171" t="s">
        <v>120</v>
      </c>
      <c r="C133">
        <v>60</v>
      </c>
      <c r="D133">
        <v>9.0322580645161299</v>
      </c>
    </row>
    <row r="134" spans="1:4" hidden="1" x14ac:dyDescent="0.3">
      <c r="A134">
        <v>1998</v>
      </c>
      <c r="B134" s="171" t="s">
        <v>120</v>
      </c>
      <c r="C134">
        <v>65</v>
      </c>
      <c r="D134">
        <v>11.0394265232975</v>
      </c>
    </row>
    <row r="135" spans="1:4" hidden="1" x14ac:dyDescent="0.3">
      <c r="A135">
        <v>1998</v>
      </c>
      <c r="B135" s="171" t="s">
        <v>120</v>
      </c>
      <c r="C135">
        <v>70</v>
      </c>
      <c r="D135">
        <v>11.0394265232975</v>
      </c>
    </row>
    <row r="136" spans="1:4" hidden="1" x14ac:dyDescent="0.3">
      <c r="A136">
        <v>1998</v>
      </c>
      <c r="B136" s="171" t="s">
        <v>120</v>
      </c>
      <c r="C136">
        <v>75</v>
      </c>
      <c r="D136">
        <v>3.0107526881720399</v>
      </c>
    </row>
    <row r="137" spans="1:4" hidden="1" x14ac:dyDescent="0.3">
      <c r="A137">
        <v>1998</v>
      </c>
      <c r="B137" s="171" t="s">
        <v>120</v>
      </c>
      <c r="C137">
        <v>80</v>
      </c>
      <c r="D137">
        <v>4.0143369175627202</v>
      </c>
    </row>
    <row r="138" spans="1:4" hidden="1" x14ac:dyDescent="0.3">
      <c r="A138">
        <v>1998</v>
      </c>
      <c r="B138" s="171" t="s">
        <v>120</v>
      </c>
      <c r="C138">
        <v>85</v>
      </c>
      <c r="D138">
        <v>6.0215053763440904</v>
      </c>
    </row>
    <row r="139" spans="1:4" hidden="1" x14ac:dyDescent="0.3">
      <c r="A139">
        <v>1999</v>
      </c>
      <c r="B139" s="171" t="s">
        <v>120</v>
      </c>
      <c r="C139">
        <v>0</v>
      </c>
      <c r="D139">
        <v>3</v>
      </c>
    </row>
    <row r="140" spans="1:4" hidden="1" x14ac:dyDescent="0.3">
      <c r="A140">
        <v>1999</v>
      </c>
      <c r="B140" s="171" t="s">
        <v>120</v>
      </c>
      <c r="C140">
        <v>1</v>
      </c>
      <c r="D140">
        <v>2</v>
      </c>
    </row>
    <row r="141" spans="1:4" hidden="1" x14ac:dyDescent="0.3">
      <c r="A141">
        <v>1999</v>
      </c>
      <c r="B141" s="171" t="s">
        <v>120</v>
      </c>
      <c r="C141">
        <v>5</v>
      </c>
      <c r="D141">
        <v>4</v>
      </c>
    </row>
    <row r="142" spans="1:4" hidden="1" x14ac:dyDescent="0.3">
      <c r="A142">
        <v>1999</v>
      </c>
      <c r="B142" s="171" t="s">
        <v>120</v>
      </c>
      <c r="C142">
        <v>10</v>
      </c>
      <c r="D142">
        <v>8</v>
      </c>
    </row>
    <row r="143" spans="1:4" hidden="1" x14ac:dyDescent="0.3">
      <c r="A143">
        <v>1999</v>
      </c>
      <c r="B143" s="171" t="s">
        <v>120</v>
      </c>
      <c r="C143">
        <v>15</v>
      </c>
      <c r="D143">
        <v>35</v>
      </c>
    </row>
    <row r="144" spans="1:4" hidden="1" x14ac:dyDescent="0.3">
      <c r="A144">
        <v>1999</v>
      </c>
      <c r="B144" s="171" t="s">
        <v>120</v>
      </c>
      <c r="C144">
        <v>20</v>
      </c>
      <c r="D144">
        <v>32</v>
      </c>
    </row>
    <row r="145" spans="1:4" hidden="1" x14ac:dyDescent="0.3">
      <c r="A145">
        <v>1999</v>
      </c>
      <c r="B145" s="171" t="s">
        <v>120</v>
      </c>
      <c r="C145">
        <v>25</v>
      </c>
      <c r="D145">
        <v>27</v>
      </c>
    </row>
    <row r="146" spans="1:4" hidden="1" x14ac:dyDescent="0.3">
      <c r="A146">
        <v>1999</v>
      </c>
      <c r="B146" s="171" t="s">
        <v>120</v>
      </c>
      <c r="C146">
        <v>30</v>
      </c>
      <c r="D146">
        <v>33</v>
      </c>
    </row>
    <row r="147" spans="1:4" hidden="1" x14ac:dyDescent="0.3">
      <c r="A147">
        <v>1999</v>
      </c>
      <c r="B147" s="171" t="s">
        <v>120</v>
      </c>
      <c r="C147">
        <v>35</v>
      </c>
      <c r="D147">
        <v>20</v>
      </c>
    </row>
    <row r="148" spans="1:4" hidden="1" x14ac:dyDescent="0.3">
      <c r="A148">
        <v>1999</v>
      </c>
      <c r="B148" s="171" t="s">
        <v>120</v>
      </c>
      <c r="C148">
        <v>40</v>
      </c>
      <c r="D148">
        <v>12</v>
      </c>
    </row>
    <row r="149" spans="1:4" hidden="1" x14ac:dyDescent="0.3">
      <c r="A149">
        <v>1999</v>
      </c>
      <c r="B149" s="171" t="s">
        <v>120</v>
      </c>
      <c r="C149">
        <v>45</v>
      </c>
      <c r="D149">
        <v>9</v>
      </c>
    </row>
    <row r="150" spans="1:4" hidden="1" x14ac:dyDescent="0.3">
      <c r="A150">
        <v>1999</v>
      </c>
      <c r="B150" s="171" t="s">
        <v>120</v>
      </c>
      <c r="C150">
        <v>50</v>
      </c>
      <c r="D150">
        <v>19</v>
      </c>
    </row>
    <row r="151" spans="1:4" hidden="1" x14ac:dyDescent="0.3">
      <c r="A151">
        <v>1999</v>
      </c>
      <c r="B151" s="171" t="s">
        <v>120</v>
      </c>
      <c r="C151">
        <v>55</v>
      </c>
      <c r="D151">
        <v>10</v>
      </c>
    </row>
    <row r="152" spans="1:4" hidden="1" x14ac:dyDescent="0.3">
      <c r="A152">
        <v>1999</v>
      </c>
      <c r="B152" s="171" t="s">
        <v>120</v>
      </c>
      <c r="C152">
        <v>60</v>
      </c>
      <c r="D152">
        <v>7</v>
      </c>
    </row>
    <row r="153" spans="1:4" hidden="1" x14ac:dyDescent="0.3">
      <c r="A153">
        <v>1999</v>
      </c>
      <c r="B153" s="171" t="s">
        <v>120</v>
      </c>
      <c r="C153">
        <v>65</v>
      </c>
      <c r="D153">
        <v>7</v>
      </c>
    </row>
    <row r="154" spans="1:4" hidden="1" x14ac:dyDescent="0.3">
      <c r="A154">
        <v>1999</v>
      </c>
      <c r="B154" s="171" t="s">
        <v>120</v>
      </c>
      <c r="C154">
        <v>70</v>
      </c>
      <c r="D154">
        <v>5</v>
      </c>
    </row>
    <row r="155" spans="1:4" hidden="1" x14ac:dyDescent="0.3">
      <c r="A155">
        <v>1999</v>
      </c>
      <c r="B155" s="171" t="s">
        <v>120</v>
      </c>
      <c r="C155">
        <v>75</v>
      </c>
      <c r="D155">
        <v>4</v>
      </c>
    </row>
    <row r="156" spans="1:4" hidden="1" x14ac:dyDescent="0.3">
      <c r="A156">
        <v>1999</v>
      </c>
      <c r="B156" s="171" t="s">
        <v>120</v>
      </c>
      <c r="C156">
        <v>80</v>
      </c>
      <c r="D156">
        <v>3</v>
      </c>
    </row>
    <row r="157" spans="1:4" hidden="1" x14ac:dyDescent="0.3">
      <c r="A157">
        <v>1999</v>
      </c>
      <c r="B157" s="171" t="s">
        <v>120</v>
      </c>
      <c r="C157">
        <v>85</v>
      </c>
      <c r="D157">
        <v>1</v>
      </c>
    </row>
    <row r="158" spans="1:4" hidden="1" x14ac:dyDescent="0.3">
      <c r="A158">
        <v>2000</v>
      </c>
      <c r="B158" s="171" t="s">
        <v>120</v>
      </c>
      <c r="C158">
        <v>0</v>
      </c>
      <c r="D158">
        <v>1.00873362445415</v>
      </c>
    </row>
    <row r="159" spans="1:4" hidden="1" x14ac:dyDescent="0.3">
      <c r="A159">
        <v>2000</v>
      </c>
      <c r="B159" s="171" t="s">
        <v>120</v>
      </c>
      <c r="C159">
        <v>1</v>
      </c>
      <c r="D159">
        <v>2.0174672489083001</v>
      </c>
    </row>
    <row r="160" spans="1:4" hidden="1" x14ac:dyDescent="0.3">
      <c r="A160">
        <v>2000</v>
      </c>
      <c r="B160" s="171" t="s">
        <v>120</v>
      </c>
      <c r="C160">
        <v>5</v>
      </c>
      <c r="D160">
        <v>8.0698689956331897</v>
      </c>
    </row>
    <row r="161" spans="1:4" hidden="1" x14ac:dyDescent="0.3">
      <c r="A161">
        <v>2000</v>
      </c>
      <c r="B161" s="171" t="s">
        <v>120</v>
      </c>
      <c r="C161">
        <v>10</v>
      </c>
      <c r="D161">
        <v>9.0786026200873398</v>
      </c>
    </row>
    <row r="162" spans="1:4" hidden="1" x14ac:dyDescent="0.3">
      <c r="A162">
        <v>2000</v>
      </c>
      <c r="B162" s="171" t="s">
        <v>120</v>
      </c>
      <c r="C162">
        <v>15</v>
      </c>
      <c r="D162">
        <v>27.235807860262</v>
      </c>
    </row>
    <row r="163" spans="1:4" hidden="1" x14ac:dyDescent="0.3">
      <c r="A163">
        <v>2000</v>
      </c>
      <c r="B163" s="171" t="s">
        <v>120</v>
      </c>
      <c r="C163">
        <v>20</v>
      </c>
      <c r="D163">
        <v>37.323144104803497</v>
      </c>
    </row>
    <row r="164" spans="1:4" hidden="1" x14ac:dyDescent="0.3">
      <c r="A164">
        <v>2000</v>
      </c>
      <c r="B164" s="171" t="s">
        <v>120</v>
      </c>
      <c r="C164">
        <v>25</v>
      </c>
      <c r="D164">
        <v>24.209606986899601</v>
      </c>
    </row>
    <row r="165" spans="1:4" hidden="1" x14ac:dyDescent="0.3">
      <c r="A165">
        <v>2000</v>
      </c>
      <c r="B165" s="171" t="s">
        <v>120</v>
      </c>
      <c r="C165">
        <v>30</v>
      </c>
      <c r="D165">
        <v>23.2008733624454</v>
      </c>
    </row>
    <row r="166" spans="1:4" hidden="1" x14ac:dyDescent="0.3">
      <c r="A166">
        <v>2000</v>
      </c>
      <c r="B166" s="171" t="s">
        <v>120</v>
      </c>
      <c r="C166">
        <v>35</v>
      </c>
      <c r="D166">
        <v>17.148471615720499</v>
      </c>
    </row>
    <row r="167" spans="1:4" hidden="1" x14ac:dyDescent="0.3">
      <c r="A167">
        <v>2000</v>
      </c>
      <c r="B167" s="171" t="s">
        <v>120</v>
      </c>
      <c r="C167">
        <v>40</v>
      </c>
      <c r="D167">
        <v>16.139737991266401</v>
      </c>
    </row>
    <row r="168" spans="1:4" hidden="1" x14ac:dyDescent="0.3">
      <c r="A168">
        <v>2000</v>
      </c>
      <c r="B168" s="171" t="s">
        <v>120</v>
      </c>
      <c r="C168">
        <v>45</v>
      </c>
      <c r="D168">
        <v>16.139737991266401</v>
      </c>
    </row>
    <row r="169" spans="1:4" hidden="1" x14ac:dyDescent="0.3">
      <c r="A169">
        <v>2000</v>
      </c>
      <c r="B169" s="171" t="s">
        <v>120</v>
      </c>
      <c r="C169">
        <v>50</v>
      </c>
      <c r="D169">
        <v>7.0611353711790397</v>
      </c>
    </row>
    <row r="170" spans="1:4" hidden="1" x14ac:dyDescent="0.3">
      <c r="A170">
        <v>2000</v>
      </c>
      <c r="B170" s="171" t="s">
        <v>120</v>
      </c>
      <c r="C170">
        <v>55</v>
      </c>
      <c r="D170">
        <v>10.0873362445415</v>
      </c>
    </row>
    <row r="171" spans="1:4" hidden="1" x14ac:dyDescent="0.3">
      <c r="A171">
        <v>2000</v>
      </c>
      <c r="B171" s="171" t="s">
        <v>120</v>
      </c>
      <c r="C171">
        <v>60</v>
      </c>
      <c r="D171">
        <v>8.0698689956331897</v>
      </c>
    </row>
    <row r="172" spans="1:4" hidden="1" x14ac:dyDescent="0.3">
      <c r="A172">
        <v>2000</v>
      </c>
      <c r="B172" s="171" t="s">
        <v>120</v>
      </c>
      <c r="C172">
        <v>65</v>
      </c>
      <c r="D172">
        <v>4.0349344978165904</v>
      </c>
    </row>
    <row r="173" spans="1:4" hidden="1" x14ac:dyDescent="0.3">
      <c r="A173">
        <v>2000</v>
      </c>
      <c r="B173" s="171" t="s">
        <v>120</v>
      </c>
      <c r="C173">
        <v>70</v>
      </c>
      <c r="D173">
        <v>5.0436681222707396</v>
      </c>
    </row>
    <row r="174" spans="1:4" hidden="1" x14ac:dyDescent="0.3">
      <c r="A174">
        <v>2000</v>
      </c>
      <c r="B174" s="171" t="s">
        <v>120</v>
      </c>
      <c r="C174">
        <v>75</v>
      </c>
      <c r="D174">
        <v>8.0698689956331897</v>
      </c>
    </row>
    <row r="175" spans="1:4" hidden="1" x14ac:dyDescent="0.3">
      <c r="A175">
        <v>2000</v>
      </c>
      <c r="B175" s="171" t="s">
        <v>120</v>
      </c>
      <c r="C175">
        <v>80</v>
      </c>
      <c r="D175">
        <v>3.0262008733624501</v>
      </c>
    </row>
    <row r="176" spans="1:4" hidden="1" x14ac:dyDescent="0.3">
      <c r="A176">
        <v>2000</v>
      </c>
      <c r="B176" s="171" t="s">
        <v>120</v>
      </c>
      <c r="C176">
        <v>85</v>
      </c>
      <c r="D176">
        <v>4.0349344978165904</v>
      </c>
    </row>
    <row r="177" spans="1:4" hidden="1" x14ac:dyDescent="0.3">
      <c r="A177">
        <v>2001</v>
      </c>
      <c r="B177" s="171" t="s">
        <v>120</v>
      </c>
      <c r="C177">
        <v>0</v>
      </c>
      <c r="D177">
        <v>2.0298507462686599</v>
      </c>
    </row>
    <row r="178" spans="1:4" hidden="1" x14ac:dyDescent="0.3">
      <c r="A178">
        <v>2001</v>
      </c>
      <c r="B178" s="171" t="s">
        <v>120</v>
      </c>
      <c r="C178">
        <v>1</v>
      </c>
      <c r="D178">
        <v>4.0597014925373101</v>
      </c>
    </row>
    <row r="179" spans="1:4" hidden="1" x14ac:dyDescent="0.3">
      <c r="A179">
        <v>2001</v>
      </c>
      <c r="B179" s="171" t="s">
        <v>120</v>
      </c>
      <c r="C179">
        <v>5</v>
      </c>
      <c r="D179">
        <v>4.0597014925373101</v>
      </c>
    </row>
    <row r="180" spans="1:4" hidden="1" x14ac:dyDescent="0.3">
      <c r="A180">
        <v>2001</v>
      </c>
      <c r="B180" s="171" t="s">
        <v>120</v>
      </c>
      <c r="C180">
        <v>10</v>
      </c>
      <c r="D180">
        <v>3.0447761194029801</v>
      </c>
    </row>
    <row r="181" spans="1:4" hidden="1" x14ac:dyDescent="0.3">
      <c r="A181">
        <v>2001</v>
      </c>
      <c r="B181" s="171" t="s">
        <v>120</v>
      </c>
      <c r="C181">
        <v>15</v>
      </c>
      <c r="D181">
        <v>23.343283582089601</v>
      </c>
    </row>
    <row r="182" spans="1:4" hidden="1" x14ac:dyDescent="0.3">
      <c r="A182">
        <v>2001</v>
      </c>
      <c r="B182" s="171" t="s">
        <v>120</v>
      </c>
      <c r="C182">
        <v>20</v>
      </c>
      <c r="D182">
        <v>31.462686567164202</v>
      </c>
    </row>
    <row r="183" spans="1:4" hidden="1" x14ac:dyDescent="0.3">
      <c r="A183">
        <v>2001</v>
      </c>
      <c r="B183" s="171" t="s">
        <v>120</v>
      </c>
      <c r="C183">
        <v>25</v>
      </c>
      <c r="D183">
        <v>21.313432835820901</v>
      </c>
    </row>
    <row r="184" spans="1:4" hidden="1" x14ac:dyDescent="0.3">
      <c r="A184">
        <v>2001</v>
      </c>
      <c r="B184" s="171" t="s">
        <v>120</v>
      </c>
      <c r="C184">
        <v>30</v>
      </c>
      <c r="D184">
        <v>17.253731343283601</v>
      </c>
    </row>
    <row r="185" spans="1:4" hidden="1" x14ac:dyDescent="0.3">
      <c r="A185">
        <v>2001</v>
      </c>
      <c r="B185" s="171" t="s">
        <v>120</v>
      </c>
      <c r="C185">
        <v>35</v>
      </c>
      <c r="D185">
        <v>14.208955223880601</v>
      </c>
    </row>
    <row r="186" spans="1:4" hidden="1" x14ac:dyDescent="0.3">
      <c r="A186">
        <v>2001</v>
      </c>
      <c r="B186" s="171" t="s">
        <v>120</v>
      </c>
      <c r="C186">
        <v>40</v>
      </c>
      <c r="D186">
        <v>11.164179104477601</v>
      </c>
    </row>
    <row r="187" spans="1:4" hidden="1" x14ac:dyDescent="0.3">
      <c r="A187">
        <v>2001</v>
      </c>
      <c r="B187" s="171" t="s">
        <v>120</v>
      </c>
      <c r="C187">
        <v>45</v>
      </c>
      <c r="D187">
        <v>11.164179104477601</v>
      </c>
    </row>
    <row r="188" spans="1:4" hidden="1" x14ac:dyDescent="0.3">
      <c r="A188">
        <v>2001</v>
      </c>
      <c r="B188" s="171" t="s">
        <v>120</v>
      </c>
      <c r="C188">
        <v>50</v>
      </c>
      <c r="D188">
        <v>14.208955223880601</v>
      </c>
    </row>
    <row r="189" spans="1:4" hidden="1" x14ac:dyDescent="0.3">
      <c r="A189">
        <v>2001</v>
      </c>
      <c r="B189" s="171" t="s">
        <v>120</v>
      </c>
      <c r="C189">
        <v>55</v>
      </c>
      <c r="D189">
        <v>8.1194029850746308</v>
      </c>
    </row>
    <row r="190" spans="1:4" hidden="1" x14ac:dyDescent="0.3">
      <c r="A190">
        <v>2001</v>
      </c>
      <c r="B190" s="171" t="s">
        <v>120</v>
      </c>
      <c r="C190">
        <v>60</v>
      </c>
      <c r="D190">
        <v>10.1492537313433</v>
      </c>
    </row>
    <row r="191" spans="1:4" hidden="1" x14ac:dyDescent="0.3">
      <c r="A191">
        <v>2001</v>
      </c>
      <c r="B191" s="171" t="s">
        <v>120</v>
      </c>
      <c r="C191">
        <v>65</v>
      </c>
      <c r="D191">
        <v>8.1194029850746308</v>
      </c>
    </row>
    <row r="192" spans="1:4" hidden="1" x14ac:dyDescent="0.3">
      <c r="A192">
        <v>2001</v>
      </c>
      <c r="B192" s="171" t="s">
        <v>120</v>
      </c>
      <c r="C192">
        <v>70</v>
      </c>
      <c r="D192">
        <v>10.1492537313433</v>
      </c>
    </row>
    <row r="193" spans="1:4" hidden="1" x14ac:dyDescent="0.3">
      <c r="A193">
        <v>2001</v>
      </c>
      <c r="B193" s="171" t="s">
        <v>120</v>
      </c>
      <c r="C193">
        <v>75</v>
      </c>
      <c r="D193">
        <v>5.0746268656716396</v>
      </c>
    </row>
    <row r="194" spans="1:4" hidden="1" x14ac:dyDescent="0.3">
      <c r="A194">
        <v>2001</v>
      </c>
      <c r="B194" s="171" t="s">
        <v>120</v>
      </c>
      <c r="C194">
        <v>80</v>
      </c>
      <c r="D194">
        <v>4.0597014925373101</v>
      </c>
    </row>
    <row r="195" spans="1:4" hidden="1" x14ac:dyDescent="0.3">
      <c r="A195">
        <v>2001</v>
      </c>
      <c r="B195" s="171" t="s">
        <v>120</v>
      </c>
      <c r="C195">
        <v>85</v>
      </c>
      <c r="D195">
        <v>1.01492537313433</v>
      </c>
    </row>
    <row r="196" spans="1:4" hidden="1" x14ac:dyDescent="0.3">
      <c r="A196">
        <v>2003</v>
      </c>
      <c r="B196" s="171" t="s">
        <v>120</v>
      </c>
      <c r="C196">
        <v>0</v>
      </c>
      <c r="D196">
        <v>1.0077519379844999</v>
      </c>
    </row>
    <row r="197" spans="1:4" hidden="1" x14ac:dyDescent="0.3">
      <c r="A197">
        <v>2003</v>
      </c>
      <c r="B197" s="171" t="s">
        <v>120</v>
      </c>
      <c r="C197">
        <v>1</v>
      </c>
      <c r="D197">
        <v>1.0077519379844999</v>
      </c>
    </row>
    <row r="198" spans="1:4" hidden="1" x14ac:dyDescent="0.3">
      <c r="A198">
        <v>2003</v>
      </c>
      <c r="B198" s="171" t="s">
        <v>120</v>
      </c>
      <c r="C198">
        <v>5</v>
      </c>
      <c r="D198">
        <v>1.0077519379844999</v>
      </c>
    </row>
    <row r="199" spans="1:4" hidden="1" x14ac:dyDescent="0.3">
      <c r="A199">
        <v>2003</v>
      </c>
      <c r="B199" s="171" t="s">
        <v>120</v>
      </c>
      <c r="C199">
        <v>10</v>
      </c>
      <c r="D199">
        <v>3.0232558139534902</v>
      </c>
    </row>
    <row r="200" spans="1:4" hidden="1" x14ac:dyDescent="0.3">
      <c r="A200">
        <v>2003</v>
      </c>
      <c r="B200" s="171" t="s">
        <v>120</v>
      </c>
      <c r="C200">
        <v>15</v>
      </c>
      <c r="D200">
        <v>18.139534883720899</v>
      </c>
    </row>
    <row r="201" spans="1:4" hidden="1" x14ac:dyDescent="0.3">
      <c r="A201">
        <v>2003</v>
      </c>
      <c r="B201" s="171" t="s">
        <v>120</v>
      </c>
      <c r="C201">
        <v>20</v>
      </c>
      <c r="D201">
        <v>22.170542635658901</v>
      </c>
    </row>
    <row r="202" spans="1:4" hidden="1" x14ac:dyDescent="0.3">
      <c r="A202">
        <v>2003</v>
      </c>
      <c r="B202" s="171" t="s">
        <v>120</v>
      </c>
      <c r="C202">
        <v>25</v>
      </c>
      <c r="D202">
        <v>15.116279069767399</v>
      </c>
    </row>
    <row r="203" spans="1:4" hidden="1" x14ac:dyDescent="0.3">
      <c r="A203">
        <v>2003</v>
      </c>
      <c r="B203" s="171" t="s">
        <v>120</v>
      </c>
      <c r="C203">
        <v>30</v>
      </c>
      <c r="D203">
        <v>10.077519379845</v>
      </c>
    </row>
    <row r="204" spans="1:4" hidden="1" x14ac:dyDescent="0.3">
      <c r="A204">
        <v>2003</v>
      </c>
      <c r="B204" s="171" t="s">
        <v>120</v>
      </c>
      <c r="C204">
        <v>35</v>
      </c>
      <c r="D204">
        <v>9.0697674418604706</v>
      </c>
    </row>
    <row r="205" spans="1:4" hidden="1" x14ac:dyDescent="0.3">
      <c r="A205">
        <v>2003</v>
      </c>
      <c r="B205" s="171" t="s">
        <v>120</v>
      </c>
      <c r="C205">
        <v>40</v>
      </c>
      <c r="D205">
        <v>12.093023255814</v>
      </c>
    </row>
    <row r="206" spans="1:4" hidden="1" x14ac:dyDescent="0.3">
      <c r="A206">
        <v>2003</v>
      </c>
      <c r="B206" s="171" t="s">
        <v>120</v>
      </c>
      <c r="C206">
        <v>45</v>
      </c>
      <c r="D206">
        <v>12.093023255814</v>
      </c>
    </row>
    <row r="207" spans="1:4" hidden="1" x14ac:dyDescent="0.3">
      <c r="A207">
        <v>2003</v>
      </c>
      <c r="B207" s="171" t="s">
        <v>120</v>
      </c>
      <c r="C207">
        <v>50</v>
      </c>
      <c r="D207">
        <v>4.0310077519379801</v>
      </c>
    </row>
    <row r="208" spans="1:4" hidden="1" x14ac:dyDescent="0.3">
      <c r="A208">
        <v>2003</v>
      </c>
      <c r="B208" s="171" t="s">
        <v>120</v>
      </c>
      <c r="C208">
        <v>55</v>
      </c>
      <c r="D208">
        <v>10.077519379845</v>
      </c>
    </row>
    <row r="209" spans="1:4" hidden="1" x14ac:dyDescent="0.3">
      <c r="A209">
        <v>2003</v>
      </c>
      <c r="B209" s="171" t="s">
        <v>120</v>
      </c>
      <c r="C209">
        <v>60</v>
      </c>
      <c r="D209">
        <v>2.0155038759689901</v>
      </c>
    </row>
    <row r="210" spans="1:4" hidden="1" x14ac:dyDescent="0.3">
      <c r="A210">
        <v>2003</v>
      </c>
      <c r="B210" s="171" t="s">
        <v>120</v>
      </c>
      <c r="C210">
        <v>65</v>
      </c>
      <c r="D210">
        <v>3.0232558139534902</v>
      </c>
    </row>
    <row r="211" spans="1:4" hidden="1" x14ac:dyDescent="0.3">
      <c r="A211">
        <v>2003</v>
      </c>
      <c r="B211" s="171" t="s">
        <v>120</v>
      </c>
      <c r="C211">
        <v>70</v>
      </c>
      <c r="D211">
        <v>5.0387596899224798</v>
      </c>
    </row>
    <row r="212" spans="1:4" hidden="1" x14ac:dyDescent="0.3">
      <c r="A212">
        <v>2003</v>
      </c>
      <c r="B212" s="171" t="s">
        <v>120</v>
      </c>
      <c r="C212">
        <v>75</v>
      </c>
      <c r="D212">
        <v>1.0077519379844999</v>
      </c>
    </row>
    <row r="213" spans="1:4" hidden="1" x14ac:dyDescent="0.3">
      <c r="A213">
        <v>2003</v>
      </c>
      <c r="B213" s="171" t="s">
        <v>120</v>
      </c>
      <c r="C213">
        <v>80</v>
      </c>
      <c r="D213">
        <v>0</v>
      </c>
    </row>
    <row r="214" spans="1:4" hidden="1" x14ac:dyDescent="0.3">
      <c r="A214">
        <v>2003</v>
      </c>
      <c r="B214" s="171" t="s">
        <v>120</v>
      </c>
      <c r="C214">
        <v>85</v>
      </c>
      <c r="D214">
        <v>0</v>
      </c>
    </row>
    <row r="215" spans="1:4" hidden="1" x14ac:dyDescent="0.3">
      <c r="A215">
        <v>2004</v>
      </c>
      <c r="B215" s="171" t="s">
        <v>120</v>
      </c>
      <c r="C215">
        <v>1</v>
      </c>
      <c r="D215">
        <v>2.0162601626016299</v>
      </c>
    </row>
    <row r="216" spans="1:4" hidden="1" x14ac:dyDescent="0.3">
      <c r="A216">
        <v>2004</v>
      </c>
      <c r="B216" s="171" t="s">
        <v>120</v>
      </c>
      <c r="C216">
        <v>15</v>
      </c>
      <c r="D216">
        <v>16.130081300813</v>
      </c>
    </row>
    <row r="217" spans="1:4" hidden="1" x14ac:dyDescent="0.3">
      <c r="A217">
        <v>2004</v>
      </c>
      <c r="B217" s="171" t="s">
        <v>120</v>
      </c>
      <c r="C217">
        <v>20</v>
      </c>
      <c r="D217">
        <v>14.113821138211399</v>
      </c>
    </row>
    <row r="218" spans="1:4" hidden="1" x14ac:dyDescent="0.3">
      <c r="A218">
        <v>2004</v>
      </c>
      <c r="B218" s="171" t="s">
        <v>120</v>
      </c>
      <c r="C218">
        <v>25</v>
      </c>
      <c r="D218">
        <v>15.1219512195122</v>
      </c>
    </row>
    <row r="219" spans="1:4" hidden="1" x14ac:dyDescent="0.3">
      <c r="A219">
        <v>2004</v>
      </c>
      <c r="B219" s="171" t="s">
        <v>120</v>
      </c>
      <c r="C219">
        <v>30</v>
      </c>
      <c r="D219">
        <v>12.097560975609801</v>
      </c>
    </row>
    <row r="220" spans="1:4" hidden="1" x14ac:dyDescent="0.3">
      <c r="A220">
        <v>2004</v>
      </c>
      <c r="B220" s="171" t="s">
        <v>120</v>
      </c>
      <c r="C220">
        <v>35</v>
      </c>
      <c r="D220">
        <v>12.097560975609801</v>
      </c>
    </row>
    <row r="221" spans="1:4" hidden="1" x14ac:dyDescent="0.3">
      <c r="A221">
        <v>2004</v>
      </c>
      <c r="B221" s="171" t="s">
        <v>120</v>
      </c>
      <c r="C221">
        <v>40</v>
      </c>
      <c r="D221">
        <v>13.105691056910601</v>
      </c>
    </row>
    <row r="222" spans="1:4" hidden="1" x14ac:dyDescent="0.3">
      <c r="A222">
        <v>2004</v>
      </c>
      <c r="B222" s="171" t="s">
        <v>120</v>
      </c>
      <c r="C222">
        <v>45</v>
      </c>
      <c r="D222">
        <v>8.0650406504065</v>
      </c>
    </row>
    <row r="223" spans="1:4" hidden="1" x14ac:dyDescent="0.3">
      <c r="A223">
        <v>2004</v>
      </c>
      <c r="B223" s="171" t="s">
        <v>120</v>
      </c>
      <c r="C223">
        <v>50</v>
      </c>
      <c r="D223">
        <v>6.0487804878048799</v>
      </c>
    </row>
    <row r="224" spans="1:4" hidden="1" x14ac:dyDescent="0.3">
      <c r="A224">
        <v>2004</v>
      </c>
      <c r="B224" s="171" t="s">
        <v>120</v>
      </c>
      <c r="C224">
        <v>55</v>
      </c>
      <c r="D224">
        <v>6.0487804878048799</v>
      </c>
    </row>
    <row r="225" spans="1:4" hidden="1" x14ac:dyDescent="0.3">
      <c r="A225">
        <v>2004</v>
      </c>
      <c r="B225" s="171" t="s">
        <v>120</v>
      </c>
      <c r="C225">
        <v>60</v>
      </c>
      <c r="D225">
        <v>7.0569105691056899</v>
      </c>
    </row>
    <row r="226" spans="1:4" hidden="1" x14ac:dyDescent="0.3">
      <c r="A226">
        <v>2004</v>
      </c>
      <c r="B226" s="171" t="s">
        <v>120</v>
      </c>
      <c r="C226">
        <v>65</v>
      </c>
      <c r="D226">
        <v>4.03252032520325</v>
      </c>
    </row>
    <row r="227" spans="1:4" hidden="1" x14ac:dyDescent="0.3">
      <c r="A227">
        <v>2004</v>
      </c>
      <c r="B227" s="171" t="s">
        <v>120</v>
      </c>
      <c r="C227">
        <v>70</v>
      </c>
      <c r="D227">
        <v>5.0406504065040698</v>
      </c>
    </row>
    <row r="228" spans="1:4" hidden="1" x14ac:dyDescent="0.3">
      <c r="A228">
        <v>2004</v>
      </c>
      <c r="B228" s="171" t="s">
        <v>120</v>
      </c>
      <c r="C228">
        <v>75</v>
      </c>
      <c r="D228">
        <v>1.0081300813008101</v>
      </c>
    </row>
    <row r="229" spans="1:4" hidden="1" x14ac:dyDescent="0.3">
      <c r="A229">
        <v>2004</v>
      </c>
      <c r="B229" s="171" t="s">
        <v>120</v>
      </c>
      <c r="C229">
        <v>80</v>
      </c>
      <c r="D229">
        <v>1.0081300813008101</v>
      </c>
    </row>
    <row r="230" spans="1:4" hidden="1" x14ac:dyDescent="0.3">
      <c r="A230">
        <v>2004</v>
      </c>
      <c r="B230" s="171" t="s">
        <v>120</v>
      </c>
      <c r="C230">
        <v>85</v>
      </c>
      <c r="D230">
        <v>1.0081300813008101</v>
      </c>
    </row>
    <row r="231" spans="1:4" hidden="1" x14ac:dyDescent="0.3">
      <c r="A231">
        <v>2007</v>
      </c>
      <c r="B231" s="171" t="s">
        <v>120</v>
      </c>
      <c r="C231">
        <v>1</v>
      </c>
      <c r="D231">
        <v>1</v>
      </c>
    </row>
    <row r="232" spans="1:4" hidden="1" x14ac:dyDescent="0.3">
      <c r="A232">
        <v>2007</v>
      </c>
      <c r="B232" s="171" t="s">
        <v>120</v>
      </c>
      <c r="C232">
        <v>5</v>
      </c>
      <c r="D232">
        <v>2</v>
      </c>
    </row>
    <row r="233" spans="1:4" hidden="1" x14ac:dyDescent="0.3">
      <c r="A233">
        <v>2007</v>
      </c>
      <c r="B233" s="171" t="s">
        <v>120</v>
      </c>
      <c r="C233">
        <v>10</v>
      </c>
      <c r="D233">
        <v>2</v>
      </c>
    </row>
    <row r="234" spans="1:4" hidden="1" x14ac:dyDescent="0.3">
      <c r="A234">
        <v>2007</v>
      </c>
      <c r="B234" s="171" t="s">
        <v>120</v>
      </c>
      <c r="C234">
        <v>15</v>
      </c>
      <c r="D234">
        <v>12</v>
      </c>
    </row>
    <row r="235" spans="1:4" hidden="1" x14ac:dyDescent="0.3">
      <c r="A235">
        <v>2007</v>
      </c>
      <c r="B235" s="171" t="s">
        <v>120</v>
      </c>
      <c r="C235">
        <v>20</v>
      </c>
      <c r="D235">
        <v>21</v>
      </c>
    </row>
    <row r="236" spans="1:4" hidden="1" x14ac:dyDescent="0.3">
      <c r="A236">
        <v>2007</v>
      </c>
      <c r="B236" s="171" t="s">
        <v>120</v>
      </c>
      <c r="C236">
        <v>25</v>
      </c>
      <c r="D236">
        <v>16</v>
      </c>
    </row>
    <row r="237" spans="1:4" hidden="1" x14ac:dyDescent="0.3">
      <c r="A237">
        <v>2007</v>
      </c>
      <c r="B237" s="171" t="s">
        <v>120</v>
      </c>
      <c r="C237">
        <v>30</v>
      </c>
      <c r="D237">
        <v>10</v>
      </c>
    </row>
    <row r="238" spans="1:4" hidden="1" x14ac:dyDescent="0.3">
      <c r="A238">
        <v>2007</v>
      </c>
      <c r="B238" s="171" t="s">
        <v>120</v>
      </c>
      <c r="C238">
        <v>35</v>
      </c>
      <c r="D238">
        <v>10</v>
      </c>
    </row>
    <row r="239" spans="1:4" hidden="1" x14ac:dyDescent="0.3">
      <c r="A239">
        <v>2007</v>
      </c>
      <c r="B239" s="171" t="s">
        <v>120</v>
      </c>
      <c r="C239">
        <v>40</v>
      </c>
      <c r="D239">
        <v>14</v>
      </c>
    </row>
    <row r="240" spans="1:4" hidden="1" x14ac:dyDescent="0.3">
      <c r="A240">
        <v>2007</v>
      </c>
      <c r="B240" s="171" t="s">
        <v>120</v>
      </c>
      <c r="C240">
        <v>45</v>
      </c>
      <c r="D240">
        <v>10</v>
      </c>
    </row>
    <row r="241" spans="1:4" hidden="1" x14ac:dyDescent="0.3">
      <c r="A241">
        <v>2007</v>
      </c>
      <c r="B241" s="171" t="s">
        <v>120</v>
      </c>
      <c r="C241">
        <v>50</v>
      </c>
      <c r="D241">
        <v>8</v>
      </c>
    </row>
    <row r="242" spans="1:4" hidden="1" x14ac:dyDescent="0.3">
      <c r="A242">
        <v>2007</v>
      </c>
      <c r="B242" s="171" t="s">
        <v>120</v>
      </c>
      <c r="C242">
        <v>55</v>
      </c>
      <c r="D242">
        <v>6</v>
      </c>
    </row>
    <row r="243" spans="1:4" hidden="1" x14ac:dyDescent="0.3">
      <c r="A243">
        <v>2007</v>
      </c>
      <c r="B243" s="171" t="s">
        <v>120</v>
      </c>
      <c r="C243">
        <v>60</v>
      </c>
      <c r="D243">
        <v>4</v>
      </c>
    </row>
    <row r="244" spans="1:4" hidden="1" x14ac:dyDescent="0.3">
      <c r="A244">
        <v>2007</v>
      </c>
      <c r="B244" s="171" t="s">
        <v>120</v>
      </c>
      <c r="C244">
        <v>65</v>
      </c>
      <c r="D244">
        <v>1</v>
      </c>
    </row>
    <row r="245" spans="1:4" hidden="1" x14ac:dyDescent="0.3">
      <c r="A245">
        <v>2007</v>
      </c>
      <c r="B245" s="171" t="s">
        <v>120</v>
      </c>
      <c r="C245">
        <v>70</v>
      </c>
      <c r="D245">
        <v>2</v>
      </c>
    </row>
    <row r="246" spans="1:4" hidden="1" x14ac:dyDescent="0.3">
      <c r="A246">
        <v>2007</v>
      </c>
      <c r="B246" s="171" t="s">
        <v>120</v>
      </c>
      <c r="C246">
        <v>75</v>
      </c>
      <c r="D246">
        <v>1</v>
      </c>
    </row>
    <row r="247" spans="1:4" hidden="1" x14ac:dyDescent="0.3">
      <c r="A247">
        <v>2008</v>
      </c>
      <c r="B247" s="171" t="s">
        <v>120</v>
      </c>
      <c r="C247">
        <v>0</v>
      </c>
      <c r="D247">
        <v>2.0346820809248598</v>
      </c>
    </row>
    <row r="248" spans="1:4" hidden="1" x14ac:dyDescent="0.3">
      <c r="A248">
        <v>2008</v>
      </c>
      <c r="B248" s="171" t="s">
        <v>120</v>
      </c>
      <c r="C248">
        <v>1</v>
      </c>
      <c r="D248">
        <v>1.0173410404624299</v>
      </c>
    </row>
    <row r="249" spans="1:4" hidden="1" x14ac:dyDescent="0.3">
      <c r="A249">
        <v>2008</v>
      </c>
      <c r="B249" s="171" t="s">
        <v>120</v>
      </c>
      <c r="C249">
        <v>10</v>
      </c>
      <c r="D249">
        <v>3.0520231213872799</v>
      </c>
    </row>
    <row r="250" spans="1:4" hidden="1" x14ac:dyDescent="0.3">
      <c r="A250">
        <v>2008</v>
      </c>
      <c r="B250" s="171" t="s">
        <v>120</v>
      </c>
      <c r="C250">
        <v>15</v>
      </c>
      <c r="D250">
        <v>22.381502890173401</v>
      </c>
    </row>
    <row r="251" spans="1:4" hidden="1" x14ac:dyDescent="0.3">
      <c r="A251">
        <v>2008</v>
      </c>
      <c r="B251" s="171" t="s">
        <v>120</v>
      </c>
      <c r="C251">
        <v>20</v>
      </c>
      <c r="D251">
        <v>34.589595375722503</v>
      </c>
    </row>
    <row r="252" spans="1:4" hidden="1" x14ac:dyDescent="0.3">
      <c r="A252">
        <v>2008</v>
      </c>
      <c r="B252" s="171" t="s">
        <v>120</v>
      </c>
      <c r="C252">
        <v>25</v>
      </c>
      <c r="D252">
        <v>20.346820809248602</v>
      </c>
    </row>
    <row r="253" spans="1:4" hidden="1" x14ac:dyDescent="0.3">
      <c r="A253">
        <v>2008</v>
      </c>
      <c r="B253" s="171" t="s">
        <v>120</v>
      </c>
      <c r="C253">
        <v>30</v>
      </c>
      <c r="D253">
        <v>23.398843930635799</v>
      </c>
    </row>
    <row r="254" spans="1:4" hidden="1" x14ac:dyDescent="0.3">
      <c r="A254">
        <v>2008</v>
      </c>
      <c r="B254" s="171" t="s">
        <v>120</v>
      </c>
      <c r="C254">
        <v>35</v>
      </c>
      <c r="D254">
        <v>22.381502890173401</v>
      </c>
    </row>
    <row r="255" spans="1:4" hidden="1" x14ac:dyDescent="0.3">
      <c r="A255">
        <v>2008</v>
      </c>
      <c r="B255" s="171" t="s">
        <v>120</v>
      </c>
      <c r="C255">
        <v>40</v>
      </c>
      <c r="D255">
        <v>7.1213872832369898</v>
      </c>
    </row>
    <row r="256" spans="1:4" hidden="1" x14ac:dyDescent="0.3">
      <c r="A256">
        <v>2008</v>
      </c>
      <c r="B256" s="171" t="s">
        <v>120</v>
      </c>
      <c r="C256">
        <v>45</v>
      </c>
      <c r="D256">
        <v>4.0693641618497098</v>
      </c>
    </row>
    <row r="257" spans="1:4" hidden="1" x14ac:dyDescent="0.3">
      <c r="A257">
        <v>2008</v>
      </c>
      <c r="B257" s="171" t="s">
        <v>120</v>
      </c>
      <c r="C257">
        <v>50</v>
      </c>
      <c r="D257">
        <v>11.1907514450867</v>
      </c>
    </row>
    <row r="258" spans="1:4" hidden="1" x14ac:dyDescent="0.3">
      <c r="A258">
        <v>2008</v>
      </c>
      <c r="B258" s="171" t="s">
        <v>120</v>
      </c>
      <c r="C258">
        <v>55</v>
      </c>
      <c r="D258">
        <v>5.0867052023121397</v>
      </c>
    </row>
    <row r="259" spans="1:4" hidden="1" x14ac:dyDescent="0.3">
      <c r="A259">
        <v>2008</v>
      </c>
      <c r="B259" s="171" t="s">
        <v>120</v>
      </c>
      <c r="C259">
        <v>60</v>
      </c>
      <c r="D259">
        <v>7.1213872832369898</v>
      </c>
    </row>
    <row r="260" spans="1:4" hidden="1" x14ac:dyDescent="0.3">
      <c r="A260">
        <v>2008</v>
      </c>
      <c r="B260" s="171" t="s">
        <v>120</v>
      </c>
      <c r="C260">
        <v>65</v>
      </c>
      <c r="D260">
        <v>8.1387283236994197</v>
      </c>
    </row>
    <row r="261" spans="1:4" hidden="1" x14ac:dyDescent="0.3">
      <c r="A261">
        <v>2008</v>
      </c>
      <c r="B261" s="171" t="s">
        <v>120</v>
      </c>
      <c r="C261">
        <v>70</v>
      </c>
      <c r="D261">
        <v>3.0520231213872799</v>
      </c>
    </row>
    <row r="262" spans="1:4" hidden="1" x14ac:dyDescent="0.3">
      <c r="A262">
        <v>2008</v>
      </c>
      <c r="B262" s="171" t="s">
        <v>120</v>
      </c>
      <c r="C262">
        <v>75</v>
      </c>
      <c r="D262">
        <v>1.0173410404624299</v>
      </c>
    </row>
    <row r="263" spans="1:4" hidden="1" x14ac:dyDescent="0.3">
      <c r="A263">
        <v>2008</v>
      </c>
      <c r="B263" s="171" t="s">
        <v>120</v>
      </c>
      <c r="C263">
        <v>80</v>
      </c>
      <c r="D263">
        <v>0</v>
      </c>
    </row>
    <row r="264" spans="1:4" hidden="1" x14ac:dyDescent="0.3">
      <c r="A264">
        <v>2009</v>
      </c>
      <c r="B264" s="171" t="s">
        <v>120</v>
      </c>
      <c r="C264">
        <v>0</v>
      </c>
      <c r="D264">
        <v>1.2641043723554299</v>
      </c>
    </row>
    <row r="265" spans="1:4" hidden="1" x14ac:dyDescent="0.3">
      <c r="A265">
        <v>2009</v>
      </c>
      <c r="B265" s="171" t="s">
        <v>120</v>
      </c>
      <c r="C265">
        <v>1</v>
      </c>
      <c r="D265">
        <v>3.0338504936530302</v>
      </c>
    </row>
    <row r="266" spans="1:4" hidden="1" x14ac:dyDescent="0.3">
      <c r="A266">
        <v>2009</v>
      </c>
      <c r="B266" s="171" t="s">
        <v>120</v>
      </c>
      <c r="C266">
        <v>5</v>
      </c>
      <c r="D266">
        <v>2.02256699576869</v>
      </c>
    </row>
    <row r="267" spans="1:4" hidden="1" x14ac:dyDescent="0.3">
      <c r="A267">
        <v>2009</v>
      </c>
      <c r="B267" s="171" t="s">
        <v>120</v>
      </c>
      <c r="C267">
        <v>10</v>
      </c>
      <c r="D267">
        <v>2.02256699576869</v>
      </c>
    </row>
    <row r="268" spans="1:4" hidden="1" x14ac:dyDescent="0.3">
      <c r="A268">
        <v>2009</v>
      </c>
      <c r="B268" s="171" t="s">
        <v>120</v>
      </c>
      <c r="C268">
        <v>15</v>
      </c>
      <c r="D268">
        <v>24.270803949224302</v>
      </c>
    </row>
    <row r="269" spans="1:4" hidden="1" x14ac:dyDescent="0.3">
      <c r="A269">
        <v>2009</v>
      </c>
      <c r="B269" s="171" t="s">
        <v>120</v>
      </c>
      <c r="C269">
        <v>20</v>
      </c>
      <c r="D269">
        <v>26.293370944992901</v>
      </c>
    </row>
    <row r="270" spans="1:4" hidden="1" x14ac:dyDescent="0.3">
      <c r="A270">
        <v>2009</v>
      </c>
      <c r="B270" s="171" t="s">
        <v>120</v>
      </c>
      <c r="C270">
        <v>25</v>
      </c>
      <c r="D270">
        <v>28.3159379407616</v>
      </c>
    </row>
    <row r="271" spans="1:4" hidden="1" x14ac:dyDescent="0.3">
      <c r="A271">
        <v>2009</v>
      </c>
      <c r="B271" s="171" t="s">
        <v>120</v>
      </c>
      <c r="C271">
        <v>30</v>
      </c>
      <c r="D271">
        <v>19.214386459802501</v>
      </c>
    </row>
    <row r="272" spans="1:4" hidden="1" x14ac:dyDescent="0.3">
      <c r="A272">
        <v>2009</v>
      </c>
      <c r="B272" s="171" t="s">
        <v>120</v>
      </c>
      <c r="C272">
        <v>35</v>
      </c>
      <c r="D272">
        <v>26.293370944992901</v>
      </c>
    </row>
    <row r="273" spans="1:4" hidden="1" x14ac:dyDescent="0.3">
      <c r="A273">
        <v>2009</v>
      </c>
      <c r="B273" s="171" t="s">
        <v>120</v>
      </c>
      <c r="C273">
        <v>40</v>
      </c>
      <c r="D273">
        <v>14.1579689703808</v>
      </c>
    </row>
    <row r="274" spans="1:4" hidden="1" x14ac:dyDescent="0.3">
      <c r="A274">
        <v>2009</v>
      </c>
      <c r="B274" s="171" t="s">
        <v>120</v>
      </c>
      <c r="C274">
        <v>45</v>
      </c>
      <c r="D274">
        <v>2.02256699576869</v>
      </c>
    </row>
    <row r="275" spans="1:4" hidden="1" x14ac:dyDescent="0.3">
      <c r="A275">
        <v>2009</v>
      </c>
      <c r="B275" s="171" t="s">
        <v>120</v>
      </c>
      <c r="C275">
        <v>50</v>
      </c>
      <c r="D275">
        <v>3.0338504936530302</v>
      </c>
    </row>
    <row r="276" spans="1:4" hidden="1" x14ac:dyDescent="0.3">
      <c r="A276">
        <v>2009</v>
      </c>
      <c r="B276" s="171" t="s">
        <v>120</v>
      </c>
      <c r="C276">
        <v>55</v>
      </c>
      <c r="D276">
        <v>7.0789844851904098</v>
      </c>
    </row>
    <row r="277" spans="1:4" hidden="1" x14ac:dyDescent="0.3">
      <c r="A277">
        <v>2009</v>
      </c>
      <c r="B277" s="171" t="s">
        <v>120</v>
      </c>
      <c r="C277">
        <v>60</v>
      </c>
      <c r="D277">
        <v>4.0451339915373801</v>
      </c>
    </row>
    <row r="278" spans="1:4" hidden="1" x14ac:dyDescent="0.3">
      <c r="A278">
        <v>2009</v>
      </c>
      <c r="B278" s="171" t="s">
        <v>120</v>
      </c>
      <c r="C278">
        <v>65</v>
      </c>
      <c r="D278">
        <v>5.0564174894217198</v>
      </c>
    </row>
    <row r="279" spans="1:4" hidden="1" x14ac:dyDescent="0.3">
      <c r="A279">
        <v>2009</v>
      </c>
      <c r="B279" s="171" t="s">
        <v>120</v>
      </c>
      <c r="C279">
        <v>70</v>
      </c>
      <c r="D279">
        <v>4.0451339915373801</v>
      </c>
    </row>
    <row r="280" spans="1:4" hidden="1" x14ac:dyDescent="0.3">
      <c r="A280">
        <v>2009</v>
      </c>
      <c r="B280" s="171" t="s">
        <v>120</v>
      </c>
      <c r="C280">
        <v>75</v>
      </c>
      <c r="D280">
        <v>5.0564174894217198</v>
      </c>
    </row>
    <row r="281" spans="1:4" hidden="1" x14ac:dyDescent="0.3">
      <c r="A281">
        <v>2009</v>
      </c>
      <c r="B281" s="171" t="s">
        <v>120</v>
      </c>
      <c r="C281">
        <v>85</v>
      </c>
      <c r="D281">
        <v>2.02256699576869</v>
      </c>
    </row>
    <row r="282" spans="1:4" hidden="1" x14ac:dyDescent="0.3">
      <c r="A282">
        <v>2010</v>
      </c>
      <c r="B282" s="171" t="s">
        <v>120</v>
      </c>
      <c r="C282">
        <v>0</v>
      </c>
      <c r="D282">
        <v>1.00609756097561</v>
      </c>
    </row>
    <row r="283" spans="1:4" hidden="1" x14ac:dyDescent="0.3">
      <c r="A283">
        <v>2010</v>
      </c>
      <c r="B283" s="171" t="s">
        <v>120</v>
      </c>
      <c r="C283">
        <v>1</v>
      </c>
      <c r="D283">
        <v>3.01829268292683</v>
      </c>
    </row>
    <row r="284" spans="1:4" hidden="1" x14ac:dyDescent="0.3">
      <c r="A284">
        <v>2010</v>
      </c>
      <c r="B284" s="171" t="s">
        <v>120</v>
      </c>
      <c r="C284">
        <v>5</v>
      </c>
      <c r="D284">
        <v>0</v>
      </c>
    </row>
    <row r="285" spans="1:4" hidden="1" x14ac:dyDescent="0.3">
      <c r="A285">
        <v>2010</v>
      </c>
      <c r="B285" s="171" t="s">
        <v>120</v>
      </c>
      <c r="C285">
        <v>10</v>
      </c>
      <c r="D285">
        <v>3.01829268292683</v>
      </c>
    </row>
    <row r="286" spans="1:4" hidden="1" x14ac:dyDescent="0.3">
      <c r="A286">
        <v>2010</v>
      </c>
      <c r="B286" s="171" t="s">
        <v>120</v>
      </c>
      <c r="C286">
        <v>15</v>
      </c>
      <c r="D286">
        <v>35.213414634146297</v>
      </c>
    </row>
    <row r="287" spans="1:4" hidden="1" x14ac:dyDescent="0.3">
      <c r="A287">
        <v>2010</v>
      </c>
      <c r="B287" s="171" t="s">
        <v>120</v>
      </c>
      <c r="C287">
        <v>20</v>
      </c>
      <c r="D287">
        <v>54.329268292682897</v>
      </c>
    </row>
    <row r="288" spans="1:4" hidden="1" x14ac:dyDescent="0.3">
      <c r="A288">
        <v>2010</v>
      </c>
      <c r="B288" s="171" t="s">
        <v>120</v>
      </c>
      <c r="C288">
        <v>25</v>
      </c>
      <c r="D288">
        <v>55.335365853658502</v>
      </c>
    </row>
    <row r="289" spans="1:4" hidden="1" x14ac:dyDescent="0.3">
      <c r="A289">
        <v>2010</v>
      </c>
      <c r="B289" s="171" t="s">
        <v>120</v>
      </c>
      <c r="C289">
        <v>30</v>
      </c>
      <c r="D289">
        <v>38.231707317073202</v>
      </c>
    </row>
    <row r="290" spans="1:4" hidden="1" x14ac:dyDescent="0.3">
      <c r="A290">
        <v>2010</v>
      </c>
      <c r="B290" s="171" t="s">
        <v>120</v>
      </c>
      <c r="C290">
        <v>35</v>
      </c>
      <c r="D290">
        <v>34.207317073170699</v>
      </c>
    </row>
    <row r="291" spans="1:4" hidden="1" x14ac:dyDescent="0.3">
      <c r="A291">
        <v>2010</v>
      </c>
      <c r="B291" s="171" t="s">
        <v>120</v>
      </c>
      <c r="C291">
        <v>40</v>
      </c>
      <c r="D291">
        <v>26.158536585365901</v>
      </c>
    </row>
    <row r="292" spans="1:4" hidden="1" x14ac:dyDescent="0.3">
      <c r="A292">
        <v>2010</v>
      </c>
      <c r="B292" s="171" t="s">
        <v>120</v>
      </c>
      <c r="C292">
        <v>45</v>
      </c>
      <c r="D292">
        <v>26.158536585365901</v>
      </c>
    </row>
    <row r="293" spans="1:4" hidden="1" x14ac:dyDescent="0.3">
      <c r="A293">
        <v>2010</v>
      </c>
      <c r="B293" s="171" t="s">
        <v>120</v>
      </c>
      <c r="C293">
        <v>50</v>
      </c>
      <c r="D293">
        <v>15.0914634146341</v>
      </c>
    </row>
    <row r="294" spans="1:4" hidden="1" x14ac:dyDescent="0.3">
      <c r="A294">
        <v>2010</v>
      </c>
      <c r="B294" s="171" t="s">
        <v>120</v>
      </c>
      <c r="C294">
        <v>55</v>
      </c>
      <c r="D294">
        <v>17.103658536585399</v>
      </c>
    </row>
    <row r="295" spans="1:4" hidden="1" x14ac:dyDescent="0.3">
      <c r="A295">
        <v>2010</v>
      </c>
      <c r="B295" s="171" t="s">
        <v>120</v>
      </c>
      <c r="C295">
        <v>60</v>
      </c>
      <c r="D295">
        <v>6.0365853658536599</v>
      </c>
    </row>
    <row r="296" spans="1:4" hidden="1" x14ac:dyDescent="0.3">
      <c r="A296">
        <v>2010</v>
      </c>
      <c r="B296" s="171" t="s">
        <v>120</v>
      </c>
      <c r="C296">
        <v>65</v>
      </c>
      <c r="D296">
        <v>4.0243902439024399</v>
      </c>
    </row>
    <row r="297" spans="1:4" hidden="1" x14ac:dyDescent="0.3">
      <c r="A297">
        <v>2010</v>
      </c>
      <c r="B297" s="171" t="s">
        <v>120</v>
      </c>
      <c r="C297">
        <v>70</v>
      </c>
      <c r="D297">
        <v>2.01219512195122</v>
      </c>
    </row>
    <row r="298" spans="1:4" hidden="1" x14ac:dyDescent="0.3">
      <c r="A298">
        <v>2010</v>
      </c>
      <c r="B298" s="171" t="s">
        <v>120</v>
      </c>
      <c r="C298">
        <v>75</v>
      </c>
      <c r="D298">
        <v>3.01829268292683</v>
      </c>
    </row>
    <row r="299" spans="1:4" hidden="1" x14ac:dyDescent="0.3">
      <c r="A299">
        <v>2010</v>
      </c>
      <c r="B299" s="171" t="s">
        <v>120</v>
      </c>
      <c r="C299">
        <v>80</v>
      </c>
      <c r="D299">
        <v>2.01219512195122</v>
      </c>
    </row>
    <row r="300" spans="1:4" hidden="1" x14ac:dyDescent="0.3">
      <c r="A300">
        <v>2010</v>
      </c>
      <c r="B300" s="171" t="s">
        <v>120</v>
      </c>
      <c r="C300">
        <v>85</v>
      </c>
      <c r="D300">
        <v>4.0243902439024399</v>
      </c>
    </row>
    <row r="301" spans="1:4" hidden="1" x14ac:dyDescent="0.3">
      <c r="A301">
        <v>2011</v>
      </c>
      <c r="B301" s="171" t="s">
        <v>120</v>
      </c>
      <c r="C301">
        <v>0</v>
      </c>
      <c r="D301">
        <v>2.08664259927798</v>
      </c>
    </row>
    <row r="302" spans="1:4" hidden="1" x14ac:dyDescent="0.3">
      <c r="A302">
        <v>2011</v>
      </c>
      <c r="B302" s="171" t="s">
        <v>120</v>
      </c>
      <c r="C302">
        <v>1</v>
      </c>
      <c r="D302">
        <v>0</v>
      </c>
    </row>
    <row r="303" spans="1:4" hidden="1" x14ac:dyDescent="0.3">
      <c r="A303">
        <v>2011</v>
      </c>
      <c r="B303" s="171" t="s">
        <v>120</v>
      </c>
      <c r="C303">
        <v>5</v>
      </c>
      <c r="D303">
        <v>1.04332129963899</v>
      </c>
    </row>
    <row r="304" spans="1:4" hidden="1" x14ac:dyDescent="0.3">
      <c r="A304">
        <v>2011</v>
      </c>
      <c r="B304" s="171" t="s">
        <v>120</v>
      </c>
      <c r="C304">
        <v>10</v>
      </c>
      <c r="D304">
        <v>4.17328519855596</v>
      </c>
    </row>
    <row r="305" spans="1:4" hidden="1" x14ac:dyDescent="0.3">
      <c r="A305">
        <v>2011</v>
      </c>
      <c r="B305" s="171" t="s">
        <v>120</v>
      </c>
      <c r="C305">
        <v>15</v>
      </c>
      <c r="D305">
        <v>26.083032490974698</v>
      </c>
    </row>
    <row r="306" spans="1:4" hidden="1" x14ac:dyDescent="0.3">
      <c r="A306">
        <v>2011</v>
      </c>
      <c r="B306" s="171" t="s">
        <v>120</v>
      </c>
      <c r="C306">
        <v>20</v>
      </c>
      <c r="D306">
        <v>38.602888086642601</v>
      </c>
    </row>
    <row r="307" spans="1:4" hidden="1" x14ac:dyDescent="0.3">
      <c r="A307">
        <v>2011</v>
      </c>
      <c r="B307" s="171" t="s">
        <v>120</v>
      </c>
      <c r="C307">
        <v>25</v>
      </c>
      <c r="D307">
        <v>44.862815884476497</v>
      </c>
    </row>
    <row r="308" spans="1:4" hidden="1" x14ac:dyDescent="0.3">
      <c r="A308">
        <v>2011</v>
      </c>
      <c r="B308" s="171" t="s">
        <v>120</v>
      </c>
      <c r="C308">
        <v>30</v>
      </c>
      <c r="D308">
        <v>40.689530685920602</v>
      </c>
    </row>
    <row r="309" spans="1:4" hidden="1" x14ac:dyDescent="0.3">
      <c r="A309">
        <v>2011</v>
      </c>
      <c r="B309" s="171" t="s">
        <v>120</v>
      </c>
      <c r="C309">
        <v>35</v>
      </c>
      <c r="D309">
        <v>31.299638989169701</v>
      </c>
    </row>
    <row r="310" spans="1:4" hidden="1" x14ac:dyDescent="0.3">
      <c r="A310">
        <v>2011</v>
      </c>
      <c r="B310" s="171" t="s">
        <v>120</v>
      </c>
      <c r="C310">
        <v>40</v>
      </c>
      <c r="D310">
        <v>38.602888086642601</v>
      </c>
    </row>
    <row r="311" spans="1:4" hidden="1" x14ac:dyDescent="0.3">
      <c r="A311">
        <v>2011</v>
      </c>
      <c r="B311" s="171" t="s">
        <v>120</v>
      </c>
      <c r="C311">
        <v>45</v>
      </c>
      <c r="D311">
        <v>12.519855595667901</v>
      </c>
    </row>
    <row r="312" spans="1:4" hidden="1" x14ac:dyDescent="0.3">
      <c r="A312">
        <v>2011</v>
      </c>
      <c r="B312" s="171" t="s">
        <v>120</v>
      </c>
      <c r="C312">
        <v>50</v>
      </c>
      <c r="D312">
        <v>18.779783393501798</v>
      </c>
    </row>
    <row r="313" spans="1:4" hidden="1" x14ac:dyDescent="0.3">
      <c r="A313">
        <v>2011</v>
      </c>
      <c r="B313" s="171" t="s">
        <v>120</v>
      </c>
      <c r="C313">
        <v>55</v>
      </c>
      <c r="D313">
        <v>8.3465703971119094</v>
      </c>
    </row>
    <row r="314" spans="1:4" hidden="1" x14ac:dyDescent="0.3">
      <c r="A314">
        <v>2011</v>
      </c>
      <c r="B314" s="171" t="s">
        <v>120</v>
      </c>
      <c r="C314">
        <v>60</v>
      </c>
      <c r="D314">
        <v>7.3032490974729196</v>
      </c>
    </row>
    <row r="315" spans="1:4" hidden="1" x14ac:dyDescent="0.3">
      <c r="A315">
        <v>2011</v>
      </c>
      <c r="B315" s="171" t="s">
        <v>120</v>
      </c>
      <c r="C315">
        <v>65</v>
      </c>
      <c r="D315">
        <v>4.17328519855596</v>
      </c>
    </row>
    <row r="316" spans="1:4" hidden="1" x14ac:dyDescent="0.3">
      <c r="A316">
        <v>2011</v>
      </c>
      <c r="B316" s="171" t="s">
        <v>120</v>
      </c>
      <c r="C316">
        <v>70</v>
      </c>
      <c r="D316">
        <v>4.17328519855596</v>
      </c>
    </row>
    <row r="317" spans="1:4" hidden="1" x14ac:dyDescent="0.3">
      <c r="A317">
        <v>2011</v>
      </c>
      <c r="B317" s="171" t="s">
        <v>120</v>
      </c>
      <c r="C317">
        <v>75</v>
      </c>
      <c r="D317">
        <v>3.1299638989169698</v>
      </c>
    </row>
    <row r="318" spans="1:4" hidden="1" x14ac:dyDescent="0.3">
      <c r="A318">
        <v>2011</v>
      </c>
      <c r="B318" s="171" t="s">
        <v>120</v>
      </c>
      <c r="C318">
        <v>80</v>
      </c>
      <c r="D318">
        <v>1.04332129963899</v>
      </c>
    </row>
    <row r="319" spans="1:4" hidden="1" x14ac:dyDescent="0.3">
      <c r="A319">
        <v>2011</v>
      </c>
      <c r="B319" s="171" t="s">
        <v>120</v>
      </c>
      <c r="C319">
        <v>85</v>
      </c>
      <c r="D319">
        <v>2.08664259927798</v>
      </c>
    </row>
    <row r="320" spans="1:4" hidden="1" x14ac:dyDescent="0.3">
      <c r="A320">
        <v>2012</v>
      </c>
      <c r="B320" s="171" t="s">
        <v>120</v>
      </c>
      <c r="C320">
        <v>1</v>
      </c>
      <c r="D320">
        <v>0</v>
      </c>
    </row>
    <row r="321" spans="1:4" hidden="1" x14ac:dyDescent="0.3">
      <c r="A321">
        <v>2012</v>
      </c>
      <c r="B321" s="171" t="s">
        <v>120</v>
      </c>
      <c r="C321">
        <v>5</v>
      </c>
      <c r="D321">
        <v>1.01508447304907</v>
      </c>
    </row>
    <row r="322" spans="1:4" hidden="1" x14ac:dyDescent="0.3">
      <c r="A322">
        <v>2012</v>
      </c>
      <c r="B322" s="171" t="s">
        <v>120</v>
      </c>
      <c r="C322">
        <v>10</v>
      </c>
      <c r="D322">
        <v>2.0301689460981498</v>
      </c>
    </row>
    <row r="323" spans="1:4" hidden="1" x14ac:dyDescent="0.3">
      <c r="A323">
        <v>2012</v>
      </c>
      <c r="B323" s="171" t="s">
        <v>120</v>
      </c>
      <c r="C323">
        <v>15</v>
      </c>
      <c r="D323">
        <v>49.739139179404702</v>
      </c>
    </row>
    <row r="324" spans="1:4" hidden="1" x14ac:dyDescent="0.3">
      <c r="A324">
        <v>2012</v>
      </c>
      <c r="B324" s="171" t="s">
        <v>120</v>
      </c>
      <c r="C324">
        <v>20</v>
      </c>
      <c r="D324">
        <v>79.176588897827799</v>
      </c>
    </row>
    <row r="325" spans="1:4" hidden="1" x14ac:dyDescent="0.3">
      <c r="A325">
        <v>2012</v>
      </c>
      <c r="B325" s="171" t="s">
        <v>120</v>
      </c>
      <c r="C325">
        <v>25</v>
      </c>
      <c r="D325">
        <v>68.782123893805306</v>
      </c>
    </row>
    <row r="326" spans="1:4" hidden="1" x14ac:dyDescent="0.3">
      <c r="A326">
        <v>2012</v>
      </c>
      <c r="B326" s="171" t="s">
        <v>120</v>
      </c>
      <c r="C326">
        <v>30</v>
      </c>
      <c r="D326">
        <v>47.708970233306502</v>
      </c>
    </row>
    <row r="327" spans="1:4" hidden="1" x14ac:dyDescent="0.3">
      <c r="A327">
        <v>2012</v>
      </c>
      <c r="B327" s="171" t="s">
        <v>120</v>
      </c>
      <c r="C327">
        <v>35</v>
      </c>
      <c r="D327">
        <v>40.603378921962999</v>
      </c>
    </row>
    <row r="328" spans="1:4" hidden="1" x14ac:dyDescent="0.3">
      <c r="A328">
        <v>2012</v>
      </c>
      <c r="B328" s="171" t="s">
        <v>120</v>
      </c>
      <c r="C328">
        <v>40</v>
      </c>
      <c r="D328">
        <v>29.437449718423199</v>
      </c>
    </row>
    <row r="329" spans="1:4" hidden="1" x14ac:dyDescent="0.3">
      <c r="A329">
        <v>2012</v>
      </c>
      <c r="B329" s="171" t="s">
        <v>120</v>
      </c>
      <c r="C329">
        <v>45</v>
      </c>
      <c r="D329">
        <v>24.362027353177801</v>
      </c>
    </row>
    <row r="330" spans="1:4" hidden="1" x14ac:dyDescent="0.3">
      <c r="A330">
        <v>2012</v>
      </c>
      <c r="B330" s="171" t="s">
        <v>120</v>
      </c>
      <c r="C330">
        <v>50</v>
      </c>
      <c r="D330">
        <v>24.362027353177801</v>
      </c>
    </row>
    <row r="331" spans="1:4" hidden="1" x14ac:dyDescent="0.3">
      <c r="A331">
        <v>2012</v>
      </c>
      <c r="B331" s="171" t="s">
        <v>120</v>
      </c>
      <c r="C331">
        <v>55</v>
      </c>
      <c r="D331">
        <v>8.1206757843925992</v>
      </c>
    </row>
    <row r="332" spans="1:4" hidden="1" x14ac:dyDescent="0.3">
      <c r="A332">
        <v>2012</v>
      </c>
      <c r="B332" s="171" t="s">
        <v>120</v>
      </c>
      <c r="C332">
        <v>60</v>
      </c>
      <c r="D332">
        <v>8.1206757843925992</v>
      </c>
    </row>
    <row r="333" spans="1:4" hidden="1" x14ac:dyDescent="0.3">
      <c r="A333">
        <v>2012</v>
      </c>
      <c r="B333" s="171" t="s">
        <v>120</v>
      </c>
      <c r="C333">
        <v>65</v>
      </c>
      <c r="D333">
        <v>5.0754223652453696</v>
      </c>
    </row>
    <row r="334" spans="1:4" hidden="1" x14ac:dyDescent="0.3">
      <c r="A334">
        <v>2012</v>
      </c>
      <c r="B334" s="171" t="s">
        <v>120</v>
      </c>
      <c r="C334">
        <v>70</v>
      </c>
      <c r="D334">
        <v>5.0754223652453696</v>
      </c>
    </row>
    <row r="335" spans="1:4" hidden="1" x14ac:dyDescent="0.3">
      <c r="A335">
        <v>2012</v>
      </c>
      <c r="B335" s="171" t="s">
        <v>120</v>
      </c>
      <c r="C335">
        <v>75</v>
      </c>
      <c r="D335">
        <v>5.0754223652453696</v>
      </c>
    </row>
    <row r="336" spans="1:4" hidden="1" x14ac:dyDescent="0.3">
      <c r="A336">
        <v>2012</v>
      </c>
      <c r="B336" s="171" t="s">
        <v>120</v>
      </c>
      <c r="C336">
        <v>80</v>
      </c>
      <c r="D336">
        <v>2.0301689460981498</v>
      </c>
    </row>
    <row r="337" spans="1:4" hidden="1" x14ac:dyDescent="0.3">
      <c r="A337">
        <v>2012</v>
      </c>
      <c r="B337" s="171" t="s">
        <v>120</v>
      </c>
      <c r="C337">
        <v>85</v>
      </c>
      <c r="D337">
        <v>3.0452534191472198</v>
      </c>
    </row>
    <row r="338" spans="1:4" hidden="1" x14ac:dyDescent="0.3">
      <c r="A338">
        <v>2013</v>
      </c>
      <c r="B338" s="171" t="s">
        <v>120</v>
      </c>
      <c r="C338">
        <v>0</v>
      </c>
      <c r="D338">
        <v>2.0298507462686599</v>
      </c>
    </row>
    <row r="339" spans="1:4" hidden="1" x14ac:dyDescent="0.3">
      <c r="A339">
        <v>2013</v>
      </c>
      <c r="B339" s="171" t="s">
        <v>120</v>
      </c>
      <c r="C339">
        <v>1</v>
      </c>
      <c r="D339">
        <v>1.01492537313433</v>
      </c>
    </row>
    <row r="340" spans="1:4" hidden="1" x14ac:dyDescent="0.3">
      <c r="A340">
        <v>2013</v>
      </c>
      <c r="B340" s="171" t="s">
        <v>120</v>
      </c>
      <c r="C340">
        <v>5</v>
      </c>
      <c r="D340">
        <v>0</v>
      </c>
    </row>
    <row r="341" spans="1:4" hidden="1" x14ac:dyDescent="0.3">
      <c r="A341">
        <v>2013</v>
      </c>
      <c r="B341" s="171" t="s">
        <v>120</v>
      </c>
      <c r="C341">
        <v>10</v>
      </c>
      <c r="D341">
        <v>1.01492537313433</v>
      </c>
    </row>
    <row r="342" spans="1:4" hidden="1" x14ac:dyDescent="0.3">
      <c r="A342">
        <v>2013</v>
      </c>
      <c r="B342" s="171" t="s">
        <v>120</v>
      </c>
      <c r="C342">
        <v>15</v>
      </c>
      <c r="D342">
        <v>22.328358208955201</v>
      </c>
    </row>
    <row r="343" spans="1:4" hidden="1" x14ac:dyDescent="0.3">
      <c r="A343">
        <v>2013</v>
      </c>
      <c r="B343" s="171" t="s">
        <v>120</v>
      </c>
      <c r="C343">
        <v>20</v>
      </c>
      <c r="D343">
        <v>60.895522388059703</v>
      </c>
    </row>
    <row r="344" spans="1:4" hidden="1" x14ac:dyDescent="0.3">
      <c r="A344">
        <v>2013</v>
      </c>
      <c r="B344" s="171" t="s">
        <v>120</v>
      </c>
      <c r="C344">
        <v>25</v>
      </c>
      <c r="D344">
        <v>34.507462686567202</v>
      </c>
    </row>
    <row r="345" spans="1:4" hidden="1" x14ac:dyDescent="0.3">
      <c r="A345">
        <v>2013</v>
      </c>
      <c r="B345" s="171" t="s">
        <v>120</v>
      </c>
      <c r="C345">
        <v>30</v>
      </c>
      <c r="D345">
        <v>33.492537313432798</v>
      </c>
    </row>
    <row r="346" spans="1:4" hidden="1" x14ac:dyDescent="0.3">
      <c r="A346">
        <v>2013</v>
      </c>
      <c r="B346" s="171" t="s">
        <v>120</v>
      </c>
      <c r="C346">
        <v>35</v>
      </c>
      <c r="D346">
        <v>25.373134328358201</v>
      </c>
    </row>
    <row r="347" spans="1:4" hidden="1" x14ac:dyDescent="0.3">
      <c r="A347">
        <v>2013</v>
      </c>
      <c r="B347" s="171" t="s">
        <v>120</v>
      </c>
      <c r="C347">
        <v>40</v>
      </c>
      <c r="D347">
        <v>27.402985074626901</v>
      </c>
    </row>
    <row r="348" spans="1:4" hidden="1" x14ac:dyDescent="0.3">
      <c r="A348">
        <v>2013</v>
      </c>
      <c r="B348" s="171" t="s">
        <v>120</v>
      </c>
      <c r="C348">
        <v>45</v>
      </c>
      <c r="D348">
        <v>21.313432835820901</v>
      </c>
    </row>
    <row r="349" spans="1:4" hidden="1" x14ac:dyDescent="0.3">
      <c r="A349">
        <v>2013</v>
      </c>
      <c r="B349" s="171" t="s">
        <v>120</v>
      </c>
      <c r="C349">
        <v>50</v>
      </c>
      <c r="D349">
        <v>11.164179104477601</v>
      </c>
    </row>
    <row r="350" spans="1:4" hidden="1" x14ac:dyDescent="0.3">
      <c r="A350">
        <v>2013</v>
      </c>
      <c r="B350" s="171" t="s">
        <v>120</v>
      </c>
      <c r="C350">
        <v>55</v>
      </c>
      <c r="D350">
        <v>11.164179104477601</v>
      </c>
    </row>
    <row r="351" spans="1:4" hidden="1" x14ac:dyDescent="0.3">
      <c r="A351">
        <v>2013</v>
      </c>
      <c r="B351" s="171" t="s">
        <v>120</v>
      </c>
      <c r="C351">
        <v>60</v>
      </c>
      <c r="D351">
        <v>8.1194029850746308</v>
      </c>
    </row>
    <row r="352" spans="1:4" hidden="1" x14ac:dyDescent="0.3">
      <c r="A352">
        <v>2013</v>
      </c>
      <c r="B352" s="171" t="s">
        <v>120</v>
      </c>
      <c r="C352">
        <v>65</v>
      </c>
      <c r="D352">
        <v>5.0746268656716396</v>
      </c>
    </row>
    <row r="353" spans="1:4" hidden="1" x14ac:dyDescent="0.3">
      <c r="A353">
        <v>2013</v>
      </c>
      <c r="B353" s="171" t="s">
        <v>120</v>
      </c>
      <c r="C353">
        <v>70</v>
      </c>
      <c r="D353">
        <v>6.08955223880597</v>
      </c>
    </row>
    <row r="354" spans="1:4" hidden="1" x14ac:dyDescent="0.3">
      <c r="A354">
        <v>2013</v>
      </c>
      <c r="B354" s="171" t="s">
        <v>120</v>
      </c>
      <c r="C354">
        <v>75</v>
      </c>
      <c r="D354">
        <v>1.01492537313433</v>
      </c>
    </row>
    <row r="355" spans="1:4" hidden="1" x14ac:dyDescent="0.3">
      <c r="A355">
        <v>2013</v>
      </c>
      <c r="B355" s="171" t="s">
        <v>120</v>
      </c>
      <c r="C355">
        <v>80</v>
      </c>
      <c r="D355">
        <v>0</v>
      </c>
    </row>
    <row r="356" spans="1:4" hidden="1" x14ac:dyDescent="0.3">
      <c r="A356">
        <v>2014</v>
      </c>
      <c r="B356" s="171" t="s">
        <v>120</v>
      </c>
      <c r="C356">
        <v>0</v>
      </c>
      <c r="D356">
        <v>1.02764976958525</v>
      </c>
    </row>
    <row r="357" spans="1:4" hidden="1" x14ac:dyDescent="0.3">
      <c r="A357">
        <v>2014</v>
      </c>
      <c r="B357" s="171" t="s">
        <v>120</v>
      </c>
      <c r="C357">
        <v>1</v>
      </c>
      <c r="D357">
        <v>0</v>
      </c>
    </row>
    <row r="358" spans="1:4" hidden="1" x14ac:dyDescent="0.3">
      <c r="A358">
        <v>2014</v>
      </c>
      <c r="B358" s="171" t="s">
        <v>120</v>
      </c>
      <c r="C358">
        <v>5</v>
      </c>
      <c r="D358">
        <v>1.02764976958525</v>
      </c>
    </row>
    <row r="359" spans="1:4" hidden="1" x14ac:dyDescent="0.3">
      <c r="A359">
        <v>2014</v>
      </c>
      <c r="B359" s="171" t="s">
        <v>120</v>
      </c>
      <c r="C359">
        <v>10</v>
      </c>
      <c r="D359">
        <v>1.02764976958525</v>
      </c>
    </row>
    <row r="360" spans="1:4" hidden="1" x14ac:dyDescent="0.3">
      <c r="A360">
        <v>2014</v>
      </c>
      <c r="B360" s="171" t="s">
        <v>120</v>
      </c>
      <c r="C360">
        <v>15</v>
      </c>
      <c r="D360">
        <v>17.470046082949299</v>
      </c>
    </row>
    <row r="361" spans="1:4" hidden="1" x14ac:dyDescent="0.3">
      <c r="A361">
        <v>2014</v>
      </c>
      <c r="B361" s="171" t="s">
        <v>120</v>
      </c>
      <c r="C361">
        <v>20</v>
      </c>
      <c r="D361">
        <v>41.1059907834101</v>
      </c>
    </row>
    <row r="362" spans="1:4" hidden="1" x14ac:dyDescent="0.3">
      <c r="A362">
        <v>2014</v>
      </c>
      <c r="B362" s="171" t="s">
        <v>120</v>
      </c>
      <c r="C362">
        <v>25</v>
      </c>
      <c r="D362">
        <v>33.912442396313402</v>
      </c>
    </row>
    <row r="363" spans="1:4" hidden="1" x14ac:dyDescent="0.3">
      <c r="A363">
        <v>2014</v>
      </c>
      <c r="B363" s="171" t="s">
        <v>120</v>
      </c>
      <c r="C363">
        <v>30</v>
      </c>
      <c r="D363">
        <v>23.635944700460801</v>
      </c>
    </row>
    <row r="364" spans="1:4" hidden="1" x14ac:dyDescent="0.3">
      <c r="A364">
        <v>2014</v>
      </c>
      <c r="B364" s="171" t="s">
        <v>120</v>
      </c>
      <c r="C364">
        <v>35</v>
      </c>
      <c r="D364">
        <v>24.6635944700461</v>
      </c>
    </row>
    <row r="365" spans="1:4" hidden="1" x14ac:dyDescent="0.3">
      <c r="A365">
        <v>2014</v>
      </c>
      <c r="B365" s="171" t="s">
        <v>120</v>
      </c>
      <c r="C365">
        <v>40</v>
      </c>
      <c r="D365">
        <v>17.470046082949299</v>
      </c>
    </row>
    <row r="366" spans="1:4" hidden="1" x14ac:dyDescent="0.3">
      <c r="A366">
        <v>2014</v>
      </c>
      <c r="B366" s="171" t="s">
        <v>120</v>
      </c>
      <c r="C366">
        <v>45</v>
      </c>
      <c r="D366">
        <v>18.497695852534601</v>
      </c>
    </row>
    <row r="367" spans="1:4" hidden="1" x14ac:dyDescent="0.3">
      <c r="A367">
        <v>2014</v>
      </c>
      <c r="B367" s="171" t="s">
        <v>120</v>
      </c>
      <c r="C367">
        <v>50</v>
      </c>
      <c r="D367">
        <v>7.1935483870967696</v>
      </c>
    </row>
    <row r="368" spans="1:4" hidden="1" x14ac:dyDescent="0.3">
      <c r="A368">
        <v>2014</v>
      </c>
      <c r="B368" s="171" t="s">
        <v>120</v>
      </c>
      <c r="C368">
        <v>55</v>
      </c>
      <c r="D368">
        <v>12.331797235023</v>
      </c>
    </row>
    <row r="369" spans="1:4" hidden="1" x14ac:dyDescent="0.3">
      <c r="A369">
        <v>2014</v>
      </c>
      <c r="B369" s="171" t="s">
        <v>120</v>
      </c>
      <c r="C369">
        <v>60</v>
      </c>
      <c r="D369">
        <v>3.0829493087557598</v>
      </c>
    </row>
    <row r="370" spans="1:4" hidden="1" x14ac:dyDescent="0.3">
      <c r="A370">
        <v>2014</v>
      </c>
      <c r="B370" s="171" t="s">
        <v>120</v>
      </c>
      <c r="C370">
        <v>65</v>
      </c>
      <c r="D370">
        <v>8.2211981566820302</v>
      </c>
    </row>
    <row r="371" spans="1:4" hidden="1" x14ac:dyDescent="0.3">
      <c r="A371">
        <v>2014</v>
      </c>
      <c r="B371" s="171" t="s">
        <v>120</v>
      </c>
      <c r="C371">
        <v>70</v>
      </c>
      <c r="D371">
        <v>5.1382488479262696</v>
      </c>
    </row>
    <row r="372" spans="1:4" hidden="1" x14ac:dyDescent="0.3">
      <c r="A372">
        <v>2014</v>
      </c>
      <c r="B372" s="171" t="s">
        <v>120</v>
      </c>
      <c r="C372">
        <v>75</v>
      </c>
      <c r="D372">
        <v>0</v>
      </c>
    </row>
    <row r="373" spans="1:4" hidden="1" x14ac:dyDescent="0.3">
      <c r="A373">
        <v>2014</v>
      </c>
      <c r="B373" s="171" t="s">
        <v>120</v>
      </c>
      <c r="C373">
        <v>80</v>
      </c>
      <c r="D373">
        <v>4.1105990783410098</v>
      </c>
    </row>
    <row r="374" spans="1:4" hidden="1" x14ac:dyDescent="0.3">
      <c r="A374">
        <v>2014</v>
      </c>
      <c r="B374" s="171" t="s">
        <v>120</v>
      </c>
      <c r="C374">
        <v>85</v>
      </c>
      <c r="D374">
        <v>3.0829493087557598</v>
      </c>
    </row>
    <row r="375" spans="1:4" hidden="1" x14ac:dyDescent="0.3">
      <c r="A375">
        <v>2015</v>
      </c>
      <c r="B375" s="171" t="s">
        <v>120</v>
      </c>
      <c r="C375">
        <v>0</v>
      </c>
      <c r="D375">
        <v>1.02347417840376</v>
      </c>
    </row>
    <row r="376" spans="1:4" hidden="1" x14ac:dyDescent="0.3">
      <c r="A376">
        <v>2015</v>
      </c>
      <c r="B376" s="171" t="s">
        <v>120</v>
      </c>
      <c r="C376">
        <v>5</v>
      </c>
      <c r="D376">
        <v>0</v>
      </c>
    </row>
    <row r="377" spans="1:4" hidden="1" x14ac:dyDescent="0.3">
      <c r="A377">
        <v>2015</v>
      </c>
      <c r="B377" s="171" t="s">
        <v>120</v>
      </c>
      <c r="C377">
        <v>10</v>
      </c>
      <c r="D377">
        <v>5.1173708920187799</v>
      </c>
    </row>
    <row r="378" spans="1:4" hidden="1" x14ac:dyDescent="0.3">
      <c r="A378">
        <v>2015</v>
      </c>
      <c r="B378" s="171" t="s">
        <v>120</v>
      </c>
      <c r="C378">
        <v>15</v>
      </c>
      <c r="D378">
        <v>23.539906103286398</v>
      </c>
    </row>
    <row r="379" spans="1:4" hidden="1" x14ac:dyDescent="0.3">
      <c r="A379">
        <v>2015</v>
      </c>
      <c r="B379" s="171" t="s">
        <v>120</v>
      </c>
      <c r="C379">
        <v>20</v>
      </c>
      <c r="D379">
        <v>37.868544600939003</v>
      </c>
    </row>
    <row r="380" spans="1:4" hidden="1" x14ac:dyDescent="0.3">
      <c r="A380">
        <v>2015</v>
      </c>
      <c r="B380" s="171" t="s">
        <v>120</v>
      </c>
      <c r="C380">
        <v>25</v>
      </c>
      <c r="D380">
        <v>20.469483568075098</v>
      </c>
    </row>
    <row r="381" spans="1:4" hidden="1" x14ac:dyDescent="0.3">
      <c r="A381">
        <v>2015</v>
      </c>
      <c r="B381" s="171" t="s">
        <v>120</v>
      </c>
      <c r="C381">
        <v>30</v>
      </c>
      <c r="D381">
        <v>27.633802816901401</v>
      </c>
    </row>
    <row r="382" spans="1:4" hidden="1" x14ac:dyDescent="0.3">
      <c r="A382">
        <v>2015</v>
      </c>
      <c r="B382" s="171" t="s">
        <v>120</v>
      </c>
      <c r="C382">
        <v>35</v>
      </c>
      <c r="D382">
        <v>21.492957746478901</v>
      </c>
    </row>
    <row r="383" spans="1:4" hidden="1" x14ac:dyDescent="0.3">
      <c r="A383">
        <v>2015</v>
      </c>
      <c r="B383" s="171" t="s">
        <v>120</v>
      </c>
      <c r="C383">
        <v>40</v>
      </c>
      <c r="D383">
        <v>25.5868544600939</v>
      </c>
    </row>
    <row r="384" spans="1:4" hidden="1" x14ac:dyDescent="0.3">
      <c r="A384">
        <v>2015</v>
      </c>
      <c r="B384" s="171" t="s">
        <v>120</v>
      </c>
      <c r="C384">
        <v>45</v>
      </c>
      <c r="D384">
        <v>13.305164319248799</v>
      </c>
    </row>
    <row r="385" spans="1:4" hidden="1" x14ac:dyDescent="0.3">
      <c r="A385">
        <v>2015</v>
      </c>
      <c r="B385" s="171" t="s">
        <v>120</v>
      </c>
      <c r="C385">
        <v>50</v>
      </c>
      <c r="D385">
        <v>14.3286384976526</v>
      </c>
    </row>
    <row r="386" spans="1:4" hidden="1" x14ac:dyDescent="0.3">
      <c r="A386">
        <v>2015</v>
      </c>
      <c r="B386" s="171" t="s">
        <v>120</v>
      </c>
      <c r="C386">
        <v>55</v>
      </c>
      <c r="D386">
        <v>6.1408450704225404</v>
      </c>
    </row>
    <row r="387" spans="1:4" hidden="1" x14ac:dyDescent="0.3">
      <c r="A387">
        <v>2015</v>
      </c>
      <c r="B387" s="171" t="s">
        <v>120</v>
      </c>
      <c r="C387">
        <v>60</v>
      </c>
      <c r="D387">
        <v>5.1173708920187799</v>
      </c>
    </row>
    <row r="388" spans="1:4" hidden="1" x14ac:dyDescent="0.3">
      <c r="A388">
        <v>2015</v>
      </c>
      <c r="B388" s="171" t="s">
        <v>120</v>
      </c>
      <c r="C388">
        <v>65</v>
      </c>
      <c r="D388">
        <v>6.1408450704225404</v>
      </c>
    </row>
    <row r="389" spans="1:4" hidden="1" x14ac:dyDescent="0.3">
      <c r="A389">
        <v>2015</v>
      </c>
      <c r="B389" s="171" t="s">
        <v>120</v>
      </c>
      <c r="C389">
        <v>70</v>
      </c>
      <c r="D389">
        <v>3.0704225352112702</v>
      </c>
    </row>
    <row r="390" spans="1:4" hidden="1" x14ac:dyDescent="0.3">
      <c r="A390">
        <v>2015</v>
      </c>
      <c r="B390" s="171" t="s">
        <v>120</v>
      </c>
      <c r="C390">
        <v>75</v>
      </c>
      <c r="D390">
        <v>4.0938967136150204</v>
      </c>
    </row>
    <row r="391" spans="1:4" hidden="1" x14ac:dyDescent="0.3">
      <c r="A391">
        <v>2015</v>
      </c>
      <c r="B391" s="171" t="s">
        <v>120</v>
      </c>
      <c r="C391">
        <v>80</v>
      </c>
      <c r="D391">
        <v>2.0469483568075102</v>
      </c>
    </row>
    <row r="392" spans="1:4" hidden="1" x14ac:dyDescent="0.3">
      <c r="A392">
        <v>2015</v>
      </c>
      <c r="B392" s="171" t="s">
        <v>120</v>
      </c>
      <c r="C392">
        <v>85</v>
      </c>
      <c r="D392">
        <v>1.02347417840376</v>
      </c>
    </row>
    <row r="393" spans="1:4" hidden="1" x14ac:dyDescent="0.3">
      <c r="A393">
        <v>2016</v>
      </c>
      <c r="B393" s="171" t="s">
        <v>120</v>
      </c>
      <c r="C393">
        <v>10</v>
      </c>
      <c r="D393">
        <v>3.0412371134020599</v>
      </c>
    </row>
    <row r="394" spans="1:4" hidden="1" x14ac:dyDescent="0.3">
      <c r="A394">
        <v>2016</v>
      </c>
      <c r="B394" s="171" t="s">
        <v>120</v>
      </c>
      <c r="C394">
        <v>15</v>
      </c>
      <c r="D394">
        <v>31.426116838487999</v>
      </c>
    </row>
    <row r="395" spans="1:4" hidden="1" x14ac:dyDescent="0.3">
      <c r="A395">
        <v>2016</v>
      </c>
      <c r="B395" s="171" t="s">
        <v>120</v>
      </c>
      <c r="C395">
        <v>20</v>
      </c>
      <c r="D395">
        <v>50.687285223367702</v>
      </c>
    </row>
    <row r="396" spans="1:4" hidden="1" x14ac:dyDescent="0.3">
      <c r="A396">
        <v>2016</v>
      </c>
      <c r="B396" s="171" t="s">
        <v>120</v>
      </c>
      <c r="C396">
        <v>25</v>
      </c>
      <c r="D396">
        <v>46.632302405498301</v>
      </c>
    </row>
    <row r="397" spans="1:4" hidden="1" x14ac:dyDescent="0.3">
      <c r="A397">
        <v>2016</v>
      </c>
      <c r="B397" s="171" t="s">
        <v>120</v>
      </c>
      <c r="C397">
        <v>30</v>
      </c>
      <c r="D397">
        <v>36.494845360824698</v>
      </c>
    </row>
    <row r="398" spans="1:4" hidden="1" x14ac:dyDescent="0.3">
      <c r="A398">
        <v>2016</v>
      </c>
      <c r="B398" s="171" t="s">
        <v>120</v>
      </c>
      <c r="C398">
        <v>35</v>
      </c>
      <c r="D398">
        <v>40.549828178694199</v>
      </c>
    </row>
    <row r="399" spans="1:4" hidden="1" x14ac:dyDescent="0.3">
      <c r="A399">
        <v>2016</v>
      </c>
      <c r="B399" s="171" t="s">
        <v>120</v>
      </c>
      <c r="C399">
        <v>40</v>
      </c>
      <c r="D399">
        <v>25.343642611683801</v>
      </c>
    </row>
    <row r="400" spans="1:4" hidden="1" x14ac:dyDescent="0.3">
      <c r="A400">
        <v>2016</v>
      </c>
      <c r="B400" s="171" t="s">
        <v>120</v>
      </c>
      <c r="C400">
        <v>45</v>
      </c>
      <c r="D400">
        <v>23.316151202749101</v>
      </c>
    </row>
    <row r="401" spans="1:4" hidden="1" x14ac:dyDescent="0.3">
      <c r="A401">
        <v>2016</v>
      </c>
      <c r="B401" s="171" t="s">
        <v>120</v>
      </c>
      <c r="C401">
        <v>50</v>
      </c>
      <c r="D401">
        <v>17.233676975944999</v>
      </c>
    </row>
    <row r="402" spans="1:4" hidden="1" x14ac:dyDescent="0.3">
      <c r="A402">
        <v>2016</v>
      </c>
      <c r="B402" s="171" t="s">
        <v>120</v>
      </c>
      <c r="C402">
        <v>55</v>
      </c>
      <c r="D402">
        <v>5.0687285223367704</v>
      </c>
    </row>
    <row r="403" spans="1:4" hidden="1" x14ac:dyDescent="0.3">
      <c r="A403">
        <v>2016</v>
      </c>
      <c r="B403" s="171" t="s">
        <v>120</v>
      </c>
      <c r="C403">
        <v>60</v>
      </c>
      <c r="D403">
        <v>7.09621993127148</v>
      </c>
    </row>
    <row r="404" spans="1:4" hidden="1" x14ac:dyDescent="0.3">
      <c r="A404">
        <v>2016</v>
      </c>
      <c r="B404" s="171" t="s">
        <v>120</v>
      </c>
      <c r="C404">
        <v>65</v>
      </c>
      <c r="D404">
        <v>0</v>
      </c>
    </row>
    <row r="405" spans="1:4" hidden="1" x14ac:dyDescent="0.3">
      <c r="A405">
        <v>2016</v>
      </c>
      <c r="B405" s="171" t="s">
        <v>120</v>
      </c>
      <c r="C405">
        <v>70</v>
      </c>
      <c r="D405">
        <v>4.0549828178694201</v>
      </c>
    </row>
    <row r="406" spans="1:4" hidden="1" x14ac:dyDescent="0.3">
      <c r="A406">
        <v>2016</v>
      </c>
      <c r="B406" s="171" t="s">
        <v>120</v>
      </c>
      <c r="C406">
        <v>75</v>
      </c>
      <c r="D406">
        <v>2.02749140893471</v>
      </c>
    </row>
    <row r="407" spans="1:4" hidden="1" x14ac:dyDescent="0.3">
      <c r="A407">
        <v>2016</v>
      </c>
      <c r="B407" s="171" t="s">
        <v>120</v>
      </c>
      <c r="C407">
        <v>80</v>
      </c>
      <c r="D407">
        <v>1.0137457044673499</v>
      </c>
    </row>
    <row r="408" spans="1:4" hidden="1" x14ac:dyDescent="0.3">
      <c r="A408">
        <v>2016</v>
      </c>
      <c r="B408" s="171" t="s">
        <v>120</v>
      </c>
      <c r="C408">
        <v>85</v>
      </c>
      <c r="D408">
        <v>1.0137457044673499</v>
      </c>
    </row>
    <row r="409" spans="1:4" hidden="1" x14ac:dyDescent="0.3">
      <c r="A409">
        <v>2017</v>
      </c>
      <c r="B409" s="171" t="s">
        <v>120</v>
      </c>
      <c r="C409">
        <v>10</v>
      </c>
      <c r="D409">
        <v>3.0070588235294098</v>
      </c>
    </row>
    <row r="410" spans="1:4" hidden="1" x14ac:dyDescent="0.3">
      <c r="A410">
        <v>2017</v>
      </c>
      <c r="B410" s="171" t="s">
        <v>120</v>
      </c>
      <c r="C410">
        <v>15</v>
      </c>
      <c r="D410">
        <v>43.1011764705882</v>
      </c>
    </row>
    <row r="411" spans="1:4" hidden="1" x14ac:dyDescent="0.3">
      <c r="A411">
        <v>2017</v>
      </c>
      <c r="B411" s="171" t="s">
        <v>120</v>
      </c>
      <c r="C411">
        <v>20</v>
      </c>
      <c r="D411">
        <v>76.178823529411801</v>
      </c>
    </row>
    <row r="412" spans="1:4" hidden="1" x14ac:dyDescent="0.3">
      <c r="A412">
        <v>2017</v>
      </c>
      <c r="B412" s="171" t="s">
        <v>120</v>
      </c>
      <c r="C412">
        <v>25</v>
      </c>
      <c r="D412">
        <v>80.188235294117604</v>
      </c>
    </row>
    <row r="413" spans="1:4" hidden="1" x14ac:dyDescent="0.3">
      <c r="A413">
        <v>2017</v>
      </c>
      <c r="B413" s="171" t="s">
        <v>120</v>
      </c>
      <c r="C413">
        <v>30</v>
      </c>
      <c r="D413">
        <v>49.115294117647103</v>
      </c>
    </row>
    <row r="414" spans="1:4" hidden="1" x14ac:dyDescent="0.3">
      <c r="A414">
        <v>2017</v>
      </c>
      <c r="B414" s="171" t="s">
        <v>120</v>
      </c>
      <c r="C414">
        <v>35</v>
      </c>
      <c r="D414">
        <v>57.134117647058801</v>
      </c>
    </row>
    <row r="415" spans="1:4" hidden="1" x14ac:dyDescent="0.3">
      <c r="A415">
        <v>2017</v>
      </c>
      <c r="B415" s="171" t="s">
        <v>120</v>
      </c>
      <c r="C415">
        <v>40</v>
      </c>
      <c r="D415">
        <v>36.0847058823529</v>
      </c>
    </row>
    <row r="416" spans="1:4" hidden="1" x14ac:dyDescent="0.3">
      <c r="A416">
        <v>2017</v>
      </c>
      <c r="B416" s="171" t="s">
        <v>120</v>
      </c>
      <c r="C416">
        <v>45</v>
      </c>
      <c r="D416">
        <v>20.047058823529401</v>
      </c>
    </row>
    <row r="417" spans="1:4" hidden="1" x14ac:dyDescent="0.3">
      <c r="A417">
        <v>2017</v>
      </c>
      <c r="B417" s="171" t="s">
        <v>120</v>
      </c>
      <c r="C417">
        <v>50</v>
      </c>
      <c r="D417">
        <v>17.04</v>
      </c>
    </row>
    <row r="418" spans="1:4" hidden="1" x14ac:dyDescent="0.3">
      <c r="A418">
        <v>2017</v>
      </c>
      <c r="B418" s="171" t="s">
        <v>120</v>
      </c>
      <c r="C418">
        <v>55</v>
      </c>
      <c r="D418">
        <v>15.0352941176471</v>
      </c>
    </row>
    <row r="419" spans="1:4" hidden="1" x14ac:dyDescent="0.3">
      <c r="A419">
        <v>2017</v>
      </c>
      <c r="B419" s="171" t="s">
        <v>120</v>
      </c>
      <c r="C419">
        <v>60</v>
      </c>
      <c r="D419">
        <v>11.025882352941199</v>
      </c>
    </row>
    <row r="420" spans="1:4" hidden="1" x14ac:dyDescent="0.3">
      <c r="A420">
        <v>2017</v>
      </c>
      <c r="B420" s="171" t="s">
        <v>120</v>
      </c>
      <c r="C420">
        <v>65</v>
      </c>
      <c r="D420">
        <v>6.0141176470588196</v>
      </c>
    </row>
    <row r="421" spans="1:4" hidden="1" x14ac:dyDescent="0.3">
      <c r="A421">
        <v>2017</v>
      </c>
      <c r="B421" s="171" t="s">
        <v>120</v>
      </c>
      <c r="C421">
        <v>70</v>
      </c>
      <c r="D421">
        <v>3.0070588235294098</v>
      </c>
    </row>
    <row r="422" spans="1:4" hidden="1" x14ac:dyDescent="0.3">
      <c r="A422">
        <v>2017</v>
      </c>
      <c r="B422" s="171" t="s">
        <v>120</v>
      </c>
      <c r="C422">
        <v>75</v>
      </c>
      <c r="D422">
        <v>5.0117647058823502</v>
      </c>
    </row>
    <row r="423" spans="1:4" hidden="1" x14ac:dyDescent="0.3">
      <c r="A423">
        <v>2017</v>
      </c>
      <c r="B423" s="171" t="s">
        <v>120</v>
      </c>
      <c r="C423">
        <v>80</v>
      </c>
      <c r="D423">
        <v>2.00470588235294</v>
      </c>
    </row>
    <row r="424" spans="1:4" hidden="1" x14ac:dyDescent="0.3">
      <c r="A424">
        <v>2017</v>
      </c>
      <c r="B424" s="171" t="s">
        <v>120</v>
      </c>
      <c r="C424">
        <v>85</v>
      </c>
      <c r="D424">
        <v>2.00470588235294</v>
      </c>
    </row>
    <row r="425" spans="1:4" hidden="1" x14ac:dyDescent="0.3">
      <c r="A425">
        <v>2019</v>
      </c>
      <c r="B425" s="171" t="s">
        <v>120</v>
      </c>
      <c r="C425">
        <v>0</v>
      </c>
      <c r="D425">
        <v>1.00434782608696</v>
      </c>
    </row>
    <row r="426" spans="1:4" hidden="1" x14ac:dyDescent="0.3">
      <c r="A426">
        <v>2019</v>
      </c>
      <c r="B426" s="171" t="s">
        <v>120</v>
      </c>
      <c r="C426">
        <v>1</v>
      </c>
      <c r="D426">
        <v>0</v>
      </c>
    </row>
    <row r="427" spans="1:4" hidden="1" x14ac:dyDescent="0.3">
      <c r="A427">
        <v>2019</v>
      </c>
      <c r="B427" s="171" t="s">
        <v>120</v>
      </c>
      <c r="C427">
        <v>10</v>
      </c>
      <c r="D427">
        <v>3.0130434782608702</v>
      </c>
    </row>
    <row r="428" spans="1:4" hidden="1" x14ac:dyDescent="0.3">
      <c r="A428">
        <v>2019</v>
      </c>
      <c r="B428" s="171" t="s">
        <v>120</v>
      </c>
      <c r="C428">
        <v>15</v>
      </c>
      <c r="D428">
        <v>47.204347826087002</v>
      </c>
    </row>
    <row r="429" spans="1:4" hidden="1" x14ac:dyDescent="0.3">
      <c r="A429">
        <v>2019</v>
      </c>
      <c r="B429" s="171" t="s">
        <v>120</v>
      </c>
      <c r="C429">
        <v>20</v>
      </c>
      <c r="D429">
        <v>66.2869565217391</v>
      </c>
    </row>
    <row r="430" spans="1:4" hidden="1" x14ac:dyDescent="0.3">
      <c r="A430">
        <v>2019</v>
      </c>
      <c r="B430" s="171" t="s">
        <v>120</v>
      </c>
      <c r="C430">
        <v>25</v>
      </c>
      <c r="D430">
        <v>79.343478260869603</v>
      </c>
    </row>
    <row r="431" spans="1:4" hidden="1" x14ac:dyDescent="0.3">
      <c r="A431">
        <v>2019</v>
      </c>
      <c r="B431" s="171" t="s">
        <v>120</v>
      </c>
      <c r="C431">
        <v>30</v>
      </c>
      <c r="D431">
        <v>62.269565217391303</v>
      </c>
    </row>
    <row r="432" spans="1:4" hidden="1" x14ac:dyDescent="0.3">
      <c r="A432">
        <v>2019</v>
      </c>
      <c r="B432" s="171" t="s">
        <v>120</v>
      </c>
      <c r="C432">
        <v>35</v>
      </c>
      <c r="D432">
        <v>52.226086956521698</v>
      </c>
    </row>
    <row r="433" spans="1:4" hidden="1" x14ac:dyDescent="0.3">
      <c r="A433">
        <v>2019</v>
      </c>
      <c r="B433" s="171" t="s">
        <v>120</v>
      </c>
      <c r="C433">
        <v>40</v>
      </c>
      <c r="D433">
        <v>40.173913043478301</v>
      </c>
    </row>
    <row r="434" spans="1:4" hidden="1" x14ac:dyDescent="0.3">
      <c r="A434">
        <v>2019</v>
      </c>
      <c r="B434" s="171" t="s">
        <v>120</v>
      </c>
      <c r="C434">
        <v>45</v>
      </c>
      <c r="D434">
        <v>31.134782608695701</v>
      </c>
    </row>
    <row r="435" spans="1:4" hidden="1" x14ac:dyDescent="0.3">
      <c r="A435">
        <v>2019</v>
      </c>
      <c r="B435" s="171" t="s">
        <v>120</v>
      </c>
      <c r="C435">
        <v>50</v>
      </c>
      <c r="D435">
        <v>33.1434782608696</v>
      </c>
    </row>
    <row r="436" spans="1:4" hidden="1" x14ac:dyDescent="0.3">
      <c r="A436">
        <v>2019</v>
      </c>
      <c r="B436" s="171" t="s">
        <v>120</v>
      </c>
      <c r="C436">
        <v>55</v>
      </c>
      <c r="D436">
        <v>16.0695652173913</v>
      </c>
    </row>
    <row r="437" spans="1:4" hidden="1" x14ac:dyDescent="0.3">
      <c r="A437">
        <v>2019</v>
      </c>
      <c r="B437" s="171" t="s">
        <v>120</v>
      </c>
      <c r="C437">
        <v>60</v>
      </c>
      <c r="D437">
        <v>9.03913043478261</v>
      </c>
    </row>
    <row r="438" spans="1:4" hidden="1" x14ac:dyDescent="0.3">
      <c r="A438">
        <v>2019</v>
      </c>
      <c r="B438" s="171" t="s">
        <v>120</v>
      </c>
      <c r="C438">
        <v>65</v>
      </c>
      <c r="D438">
        <v>8.0347826086956502</v>
      </c>
    </row>
    <row r="439" spans="1:4" hidden="1" x14ac:dyDescent="0.3">
      <c r="A439">
        <v>2019</v>
      </c>
      <c r="B439" s="171" t="s">
        <v>120</v>
      </c>
      <c r="C439">
        <v>70</v>
      </c>
      <c r="D439">
        <v>1.00434782608696</v>
      </c>
    </row>
    <row r="440" spans="1:4" hidden="1" x14ac:dyDescent="0.3">
      <c r="A440">
        <v>2019</v>
      </c>
      <c r="B440" s="171" t="s">
        <v>120</v>
      </c>
      <c r="C440">
        <v>75</v>
      </c>
      <c r="D440">
        <v>5.0217391304347796</v>
      </c>
    </row>
    <row r="441" spans="1:4" hidden="1" x14ac:dyDescent="0.3">
      <c r="A441">
        <v>2019</v>
      </c>
      <c r="B441" s="171" t="s">
        <v>120</v>
      </c>
      <c r="C441">
        <v>80</v>
      </c>
      <c r="D441">
        <v>4.0173913043478304</v>
      </c>
    </row>
    <row r="442" spans="1:4" hidden="1" x14ac:dyDescent="0.3">
      <c r="A442">
        <v>2019</v>
      </c>
      <c r="B442" s="171" t="s">
        <v>120</v>
      </c>
      <c r="C442">
        <v>85</v>
      </c>
      <c r="D442">
        <v>3.0130434782608702</v>
      </c>
    </row>
    <row r="443" spans="1:4" hidden="1" x14ac:dyDescent="0.3">
      <c r="A443">
        <v>2020</v>
      </c>
      <c r="B443" s="171" t="s">
        <v>120</v>
      </c>
      <c r="C443">
        <v>0</v>
      </c>
      <c r="D443">
        <v>1.3353166873266</v>
      </c>
    </row>
    <row r="444" spans="1:4" hidden="1" x14ac:dyDescent="0.3">
      <c r="A444">
        <v>2020</v>
      </c>
      <c r="B444" s="171" t="s">
        <v>120</v>
      </c>
      <c r="C444">
        <v>1</v>
      </c>
      <c r="D444">
        <v>1.0014875154949501</v>
      </c>
    </row>
    <row r="445" spans="1:4" hidden="1" x14ac:dyDescent="0.3">
      <c r="A445">
        <v>2020</v>
      </c>
      <c r="B445" s="171" t="s">
        <v>120</v>
      </c>
      <c r="C445">
        <v>5</v>
      </c>
      <c r="D445">
        <v>0</v>
      </c>
    </row>
    <row r="446" spans="1:4" hidden="1" x14ac:dyDescent="0.3">
      <c r="A446">
        <v>2020</v>
      </c>
      <c r="B446" s="171" t="s">
        <v>120</v>
      </c>
      <c r="C446">
        <v>10</v>
      </c>
      <c r="D446">
        <v>7.0104126084646703</v>
      </c>
    </row>
    <row r="447" spans="1:4" hidden="1" x14ac:dyDescent="0.3">
      <c r="A447">
        <v>2020</v>
      </c>
      <c r="B447" s="171" t="s">
        <v>120</v>
      </c>
      <c r="C447">
        <v>15</v>
      </c>
      <c r="D447">
        <v>54.080325836727503</v>
      </c>
    </row>
    <row r="448" spans="1:4" hidden="1" x14ac:dyDescent="0.3">
      <c r="A448">
        <v>2020</v>
      </c>
      <c r="B448" s="171" t="s">
        <v>120</v>
      </c>
      <c r="C448">
        <v>20</v>
      </c>
      <c r="D448">
        <v>131.19486452983901</v>
      </c>
    </row>
    <row r="449" spans="1:4" hidden="1" x14ac:dyDescent="0.3">
      <c r="A449">
        <v>2020</v>
      </c>
      <c r="B449" s="171" t="s">
        <v>120</v>
      </c>
      <c r="C449">
        <v>25</v>
      </c>
      <c r="D449">
        <v>122.181476890384</v>
      </c>
    </row>
    <row r="450" spans="1:4" hidden="1" x14ac:dyDescent="0.3">
      <c r="A450">
        <v>2020</v>
      </c>
      <c r="B450" s="171" t="s">
        <v>120</v>
      </c>
      <c r="C450">
        <v>30</v>
      </c>
      <c r="D450">
        <v>76.113051177616398</v>
      </c>
    </row>
    <row r="451" spans="1:4" hidden="1" x14ac:dyDescent="0.3">
      <c r="A451">
        <v>2020</v>
      </c>
      <c r="B451" s="171" t="s">
        <v>120</v>
      </c>
      <c r="C451">
        <v>35</v>
      </c>
      <c r="D451">
        <v>85.126438817071005</v>
      </c>
    </row>
    <row r="452" spans="1:4" hidden="1" x14ac:dyDescent="0.3">
      <c r="A452">
        <v>2020</v>
      </c>
      <c r="B452" s="171" t="s">
        <v>120</v>
      </c>
      <c r="C452">
        <v>40</v>
      </c>
      <c r="D452">
        <v>56.083300867717398</v>
      </c>
    </row>
    <row r="453" spans="1:4" hidden="1" x14ac:dyDescent="0.3">
      <c r="A453">
        <v>2020</v>
      </c>
      <c r="B453" s="171" t="s">
        <v>120</v>
      </c>
      <c r="C453">
        <v>45</v>
      </c>
      <c r="D453">
        <v>66.026641200131607</v>
      </c>
    </row>
    <row r="454" spans="1:4" hidden="1" x14ac:dyDescent="0.3">
      <c r="A454">
        <v>2020</v>
      </c>
      <c r="B454" s="171" t="s">
        <v>120</v>
      </c>
      <c r="C454">
        <v>50</v>
      </c>
      <c r="D454">
        <v>33.049088011333502</v>
      </c>
    </row>
    <row r="455" spans="1:4" hidden="1" x14ac:dyDescent="0.3">
      <c r="A455">
        <v>2020</v>
      </c>
      <c r="B455" s="171" t="s">
        <v>120</v>
      </c>
      <c r="C455">
        <v>55</v>
      </c>
      <c r="D455">
        <v>14.0208252169293</v>
      </c>
    </row>
    <row r="456" spans="1:4" hidden="1" x14ac:dyDescent="0.3">
      <c r="A456">
        <v>2020</v>
      </c>
      <c r="B456" s="171" t="s">
        <v>120</v>
      </c>
      <c r="C456">
        <v>60</v>
      </c>
      <c r="D456">
        <v>12.0178501859394</v>
      </c>
    </row>
    <row r="457" spans="1:4" hidden="1" x14ac:dyDescent="0.3">
      <c r="A457">
        <v>2020</v>
      </c>
      <c r="B457" s="171" t="s">
        <v>120</v>
      </c>
      <c r="C457">
        <v>65</v>
      </c>
      <c r="D457">
        <v>7.0104126084646703</v>
      </c>
    </row>
    <row r="458" spans="1:4" hidden="1" x14ac:dyDescent="0.3">
      <c r="A458">
        <v>2020</v>
      </c>
      <c r="B458" s="171" t="s">
        <v>120</v>
      </c>
      <c r="C458">
        <v>70</v>
      </c>
      <c r="D458">
        <v>3.0044625464848602</v>
      </c>
    </row>
    <row r="459" spans="1:4" hidden="1" x14ac:dyDescent="0.3">
      <c r="A459">
        <v>2020</v>
      </c>
      <c r="B459" s="171" t="s">
        <v>120</v>
      </c>
      <c r="C459">
        <v>75</v>
      </c>
      <c r="D459">
        <v>2.0029750309899099</v>
      </c>
    </row>
    <row r="460" spans="1:4" hidden="1" x14ac:dyDescent="0.3">
      <c r="A460">
        <v>2020</v>
      </c>
      <c r="B460" s="171" t="s">
        <v>120</v>
      </c>
      <c r="C460">
        <v>85</v>
      </c>
      <c r="D460">
        <v>2.0029750309899099</v>
      </c>
    </row>
    <row r="461" spans="1:4" hidden="1" x14ac:dyDescent="0.3">
      <c r="A461">
        <v>2022</v>
      </c>
      <c r="B461" s="171" t="s">
        <v>120</v>
      </c>
      <c r="C461">
        <v>1</v>
      </c>
      <c r="D461">
        <v>1.00326797385621</v>
      </c>
    </row>
    <row r="462" spans="1:4" hidden="1" x14ac:dyDescent="0.3">
      <c r="A462">
        <v>2022</v>
      </c>
      <c r="B462" s="171" t="s">
        <v>120</v>
      </c>
      <c r="C462">
        <v>5</v>
      </c>
      <c r="D462">
        <v>3.0098039215686301</v>
      </c>
    </row>
    <row r="463" spans="1:4" hidden="1" x14ac:dyDescent="0.3">
      <c r="A463">
        <v>2022</v>
      </c>
      <c r="B463" s="171" t="s">
        <v>120</v>
      </c>
      <c r="C463">
        <v>10</v>
      </c>
      <c r="D463">
        <v>8.0261437908496696</v>
      </c>
    </row>
    <row r="464" spans="1:4" hidden="1" x14ac:dyDescent="0.3">
      <c r="A464">
        <v>2022</v>
      </c>
      <c r="B464" s="171" t="s">
        <v>120</v>
      </c>
      <c r="C464">
        <v>15</v>
      </c>
      <c r="D464">
        <v>51.1666666666667</v>
      </c>
    </row>
    <row r="465" spans="1:4" hidden="1" x14ac:dyDescent="0.3">
      <c r="A465">
        <v>2022</v>
      </c>
      <c r="B465" s="171" t="s">
        <v>120</v>
      </c>
      <c r="C465">
        <v>20</v>
      </c>
      <c r="D465">
        <v>96.313725490196106</v>
      </c>
    </row>
    <row r="466" spans="1:4" hidden="1" x14ac:dyDescent="0.3">
      <c r="A466">
        <v>2022</v>
      </c>
      <c r="B466" s="171" t="s">
        <v>120</v>
      </c>
      <c r="C466">
        <v>25</v>
      </c>
      <c r="D466">
        <v>101.330065359477</v>
      </c>
    </row>
    <row r="467" spans="1:4" hidden="1" x14ac:dyDescent="0.3">
      <c r="A467">
        <v>2022</v>
      </c>
      <c r="B467" s="171" t="s">
        <v>120</v>
      </c>
      <c r="C467">
        <v>30</v>
      </c>
      <c r="D467">
        <v>97.316993464052302</v>
      </c>
    </row>
    <row r="468" spans="1:4" hidden="1" x14ac:dyDescent="0.3">
      <c r="A468">
        <v>2022</v>
      </c>
      <c r="B468" s="171" t="s">
        <v>120</v>
      </c>
      <c r="C468">
        <v>35</v>
      </c>
      <c r="D468">
        <v>76.248366013071902</v>
      </c>
    </row>
    <row r="469" spans="1:4" hidden="1" x14ac:dyDescent="0.3">
      <c r="A469">
        <v>2022</v>
      </c>
      <c r="B469" s="171" t="s">
        <v>120</v>
      </c>
      <c r="C469">
        <v>40</v>
      </c>
      <c r="D469">
        <v>60.196078431372499</v>
      </c>
    </row>
    <row r="470" spans="1:4" hidden="1" x14ac:dyDescent="0.3">
      <c r="A470">
        <v>2022</v>
      </c>
      <c r="B470" s="171" t="s">
        <v>120</v>
      </c>
      <c r="C470">
        <v>45</v>
      </c>
      <c r="D470">
        <v>51.1666666666667</v>
      </c>
    </row>
    <row r="471" spans="1:4" hidden="1" x14ac:dyDescent="0.3">
      <c r="A471">
        <v>2022</v>
      </c>
      <c r="B471" s="171" t="s">
        <v>120</v>
      </c>
      <c r="C471">
        <v>50</v>
      </c>
      <c r="D471">
        <v>23.075163398692801</v>
      </c>
    </row>
    <row r="472" spans="1:4" hidden="1" x14ac:dyDescent="0.3">
      <c r="A472">
        <v>2022</v>
      </c>
      <c r="B472" s="171" t="s">
        <v>120</v>
      </c>
      <c r="C472">
        <v>55</v>
      </c>
      <c r="D472">
        <v>20.065359477124201</v>
      </c>
    </row>
    <row r="473" spans="1:4" hidden="1" x14ac:dyDescent="0.3">
      <c r="A473">
        <v>2022</v>
      </c>
      <c r="B473" s="171" t="s">
        <v>120</v>
      </c>
      <c r="C473">
        <v>60</v>
      </c>
      <c r="D473">
        <v>9.0294117647058805</v>
      </c>
    </row>
    <row r="474" spans="1:4" hidden="1" x14ac:dyDescent="0.3">
      <c r="A474">
        <v>2022</v>
      </c>
      <c r="B474" s="171" t="s">
        <v>120</v>
      </c>
      <c r="C474">
        <v>65</v>
      </c>
      <c r="D474">
        <v>2.0065359477124201</v>
      </c>
    </row>
    <row r="475" spans="1:4" hidden="1" x14ac:dyDescent="0.3">
      <c r="A475">
        <v>2022</v>
      </c>
      <c r="B475" s="171" t="s">
        <v>120</v>
      </c>
      <c r="C475">
        <v>70</v>
      </c>
      <c r="D475">
        <v>6.0196078431372504</v>
      </c>
    </row>
    <row r="476" spans="1:4" hidden="1" x14ac:dyDescent="0.3">
      <c r="A476">
        <v>2022</v>
      </c>
      <c r="B476" s="171" t="s">
        <v>120</v>
      </c>
      <c r="C476">
        <v>75</v>
      </c>
      <c r="D476">
        <v>4.0130718954248401</v>
      </c>
    </row>
    <row r="477" spans="1:4" hidden="1" x14ac:dyDescent="0.3">
      <c r="A477">
        <v>2022</v>
      </c>
      <c r="B477" s="171" t="s">
        <v>120</v>
      </c>
      <c r="C477">
        <v>80</v>
      </c>
      <c r="D477">
        <v>3.0098039215686301</v>
      </c>
    </row>
    <row r="478" spans="1:4" hidden="1" x14ac:dyDescent="0.3">
      <c r="A478">
        <v>2022</v>
      </c>
      <c r="B478" s="171" t="s">
        <v>120</v>
      </c>
      <c r="C478">
        <v>85</v>
      </c>
      <c r="D478">
        <v>1.00326797385621</v>
      </c>
    </row>
    <row r="479" spans="1:4" hidden="1" x14ac:dyDescent="0.3">
      <c r="A479">
        <v>1990</v>
      </c>
      <c r="B479" s="171" t="s">
        <v>121</v>
      </c>
      <c r="C479">
        <v>0</v>
      </c>
      <c r="D479">
        <v>0</v>
      </c>
    </row>
    <row r="480" spans="1:4" hidden="1" x14ac:dyDescent="0.3">
      <c r="A480">
        <v>1990</v>
      </c>
      <c r="B480" s="171" t="s">
        <v>121</v>
      </c>
      <c r="C480">
        <v>1</v>
      </c>
      <c r="D480">
        <v>0</v>
      </c>
    </row>
    <row r="481" spans="1:4" hidden="1" x14ac:dyDescent="0.3">
      <c r="A481">
        <v>1990</v>
      </c>
      <c r="B481" s="171" t="s">
        <v>121</v>
      </c>
      <c r="C481">
        <v>10</v>
      </c>
      <c r="D481">
        <v>1</v>
      </c>
    </row>
    <row r="482" spans="1:4" hidden="1" x14ac:dyDescent="0.3">
      <c r="A482">
        <v>1990</v>
      </c>
      <c r="B482" s="171" t="s">
        <v>121</v>
      </c>
      <c r="C482">
        <v>15</v>
      </c>
      <c r="D482">
        <v>0</v>
      </c>
    </row>
    <row r="483" spans="1:4" hidden="1" x14ac:dyDescent="0.3">
      <c r="A483">
        <v>1990</v>
      </c>
      <c r="B483" s="171" t="s">
        <v>121</v>
      </c>
      <c r="C483">
        <v>20</v>
      </c>
      <c r="D483">
        <v>2</v>
      </c>
    </row>
    <row r="484" spans="1:4" hidden="1" x14ac:dyDescent="0.3">
      <c r="A484">
        <v>1990</v>
      </c>
      <c r="B484" s="171" t="s">
        <v>121</v>
      </c>
      <c r="C484">
        <v>25</v>
      </c>
      <c r="D484">
        <v>0</v>
      </c>
    </row>
    <row r="485" spans="1:4" hidden="1" x14ac:dyDescent="0.3">
      <c r="A485">
        <v>1990</v>
      </c>
      <c r="B485" s="171" t="s">
        <v>121</v>
      </c>
      <c r="C485">
        <v>30</v>
      </c>
      <c r="D485">
        <v>0</v>
      </c>
    </row>
    <row r="486" spans="1:4" hidden="1" x14ac:dyDescent="0.3">
      <c r="A486">
        <v>1990</v>
      </c>
      <c r="B486" s="171" t="s">
        <v>121</v>
      </c>
      <c r="C486">
        <v>35</v>
      </c>
      <c r="D486">
        <v>0</v>
      </c>
    </row>
    <row r="487" spans="1:4" hidden="1" x14ac:dyDescent="0.3">
      <c r="A487">
        <v>1990</v>
      </c>
      <c r="B487" s="171" t="s">
        <v>121</v>
      </c>
      <c r="C487">
        <v>40</v>
      </c>
      <c r="D487">
        <v>2</v>
      </c>
    </row>
    <row r="488" spans="1:4" hidden="1" x14ac:dyDescent="0.3">
      <c r="A488">
        <v>1990</v>
      </c>
      <c r="B488" s="171" t="s">
        <v>121</v>
      </c>
      <c r="C488">
        <v>45</v>
      </c>
      <c r="D488">
        <v>1</v>
      </c>
    </row>
    <row r="489" spans="1:4" hidden="1" x14ac:dyDescent="0.3">
      <c r="A489">
        <v>1990</v>
      </c>
      <c r="B489" s="171" t="s">
        <v>121</v>
      </c>
      <c r="C489">
        <v>50</v>
      </c>
      <c r="D489">
        <v>0</v>
      </c>
    </row>
    <row r="490" spans="1:4" hidden="1" x14ac:dyDescent="0.3">
      <c r="A490">
        <v>1990</v>
      </c>
      <c r="B490" s="171" t="s">
        <v>121</v>
      </c>
      <c r="C490">
        <v>55</v>
      </c>
      <c r="D490">
        <v>1</v>
      </c>
    </row>
    <row r="491" spans="1:4" hidden="1" x14ac:dyDescent="0.3">
      <c r="A491">
        <v>1990</v>
      </c>
      <c r="B491" s="171" t="s">
        <v>121</v>
      </c>
      <c r="C491">
        <v>60</v>
      </c>
      <c r="D491">
        <v>1</v>
      </c>
    </row>
    <row r="492" spans="1:4" hidden="1" x14ac:dyDescent="0.3">
      <c r="A492">
        <v>1990</v>
      </c>
      <c r="B492" s="171" t="s">
        <v>121</v>
      </c>
      <c r="C492">
        <v>65</v>
      </c>
      <c r="D492">
        <v>2</v>
      </c>
    </row>
    <row r="493" spans="1:4" hidden="1" x14ac:dyDescent="0.3">
      <c r="A493">
        <v>1990</v>
      </c>
      <c r="B493" s="171" t="s">
        <v>121</v>
      </c>
      <c r="C493">
        <v>70</v>
      </c>
      <c r="D493">
        <v>1</v>
      </c>
    </row>
    <row r="494" spans="1:4" hidden="1" x14ac:dyDescent="0.3">
      <c r="A494">
        <v>1990</v>
      </c>
      <c r="B494" s="171" t="s">
        <v>121</v>
      </c>
      <c r="C494">
        <v>80</v>
      </c>
      <c r="D494">
        <v>0</v>
      </c>
    </row>
    <row r="495" spans="1:4" hidden="1" x14ac:dyDescent="0.3">
      <c r="A495">
        <v>1990</v>
      </c>
      <c r="B495" s="171" t="s">
        <v>121</v>
      </c>
      <c r="C495">
        <v>85</v>
      </c>
      <c r="D495">
        <v>0</v>
      </c>
    </row>
    <row r="496" spans="1:4" hidden="1" x14ac:dyDescent="0.3">
      <c r="A496">
        <v>1991</v>
      </c>
      <c r="B496" s="171" t="s">
        <v>121</v>
      </c>
      <c r="C496">
        <v>1</v>
      </c>
      <c r="D496">
        <v>0</v>
      </c>
    </row>
    <row r="497" spans="1:4" hidden="1" x14ac:dyDescent="0.3">
      <c r="A497">
        <v>1991</v>
      </c>
      <c r="B497" s="171" t="s">
        <v>121</v>
      </c>
      <c r="C497">
        <v>5</v>
      </c>
      <c r="D497">
        <v>0</v>
      </c>
    </row>
    <row r="498" spans="1:4" hidden="1" x14ac:dyDescent="0.3">
      <c r="A498">
        <v>1991</v>
      </c>
      <c r="B498" s="171" t="s">
        <v>121</v>
      </c>
      <c r="C498">
        <v>10</v>
      </c>
      <c r="D498">
        <v>2</v>
      </c>
    </row>
    <row r="499" spans="1:4" hidden="1" x14ac:dyDescent="0.3">
      <c r="A499">
        <v>1991</v>
      </c>
      <c r="B499" s="171" t="s">
        <v>121</v>
      </c>
      <c r="C499">
        <v>15</v>
      </c>
      <c r="D499">
        <v>4</v>
      </c>
    </row>
    <row r="500" spans="1:4" hidden="1" x14ac:dyDescent="0.3">
      <c r="A500">
        <v>1991</v>
      </c>
      <c r="B500" s="171" t="s">
        <v>121</v>
      </c>
      <c r="C500">
        <v>20</v>
      </c>
      <c r="D500">
        <v>5</v>
      </c>
    </row>
    <row r="501" spans="1:4" hidden="1" x14ac:dyDescent="0.3">
      <c r="A501">
        <v>1991</v>
      </c>
      <c r="B501" s="171" t="s">
        <v>121</v>
      </c>
      <c r="C501">
        <v>25</v>
      </c>
      <c r="D501">
        <v>2</v>
      </c>
    </row>
    <row r="502" spans="1:4" hidden="1" x14ac:dyDescent="0.3">
      <c r="A502">
        <v>1991</v>
      </c>
      <c r="B502" s="171" t="s">
        <v>121</v>
      </c>
      <c r="C502">
        <v>30</v>
      </c>
      <c r="D502">
        <v>1</v>
      </c>
    </row>
    <row r="503" spans="1:4" hidden="1" x14ac:dyDescent="0.3">
      <c r="A503">
        <v>1991</v>
      </c>
      <c r="B503" s="171" t="s">
        <v>121</v>
      </c>
      <c r="C503">
        <v>35</v>
      </c>
      <c r="D503">
        <v>0</v>
      </c>
    </row>
    <row r="504" spans="1:4" hidden="1" x14ac:dyDescent="0.3">
      <c r="A504">
        <v>1991</v>
      </c>
      <c r="B504" s="171" t="s">
        <v>121</v>
      </c>
      <c r="C504">
        <v>40</v>
      </c>
      <c r="D504">
        <v>0</v>
      </c>
    </row>
    <row r="505" spans="1:4" hidden="1" x14ac:dyDescent="0.3">
      <c r="A505">
        <v>1991</v>
      </c>
      <c r="B505" s="171" t="s">
        <v>121</v>
      </c>
      <c r="C505">
        <v>45</v>
      </c>
      <c r="D505">
        <v>1</v>
      </c>
    </row>
    <row r="506" spans="1:4" hidden="1" x14ac:dyDescent="0.3">
      <c r="A506">
        <v>1991</v>
      </c>
      <c r="B506" s="171" t="s">
        <v>121</v>
      </c>
      <c r="C506">
        <v>50</v>
      </c>
      <c r="D506">
        <v>1</v>
      </c>
    </row>
    <row r="507" spans="1:4" hidden="1" x14ac:dyDescent="0.3">
      <c r="A507">
        <v>1991</v>
      </c>
      <c r="B507" s="171" t="s">
        <v>121</v>
      </c>
      <c r="C507">
        <v>55</v>
      </c>
      <c r="D507">
        <v>1</v>
      </c>
    </row>
    <row r="508" spans="1:4" hidden="1" x14ac:dyDescent="0.3">
      <c r="A508">
        <v>1991</v>
      </c>
      <c r="B508" s="171" t="s">
        <v>121</v>
      </c>
      <c r="C508">
        <v>60</v>
      </c>
      <c r="D508">
        <v>0</v>
      </c>
    </row>
    <row r="509" spans="1:4" hidden="1" x14ac:dyDescent="0.3">
      <c r="A509">
        <v>1991</v>
      </c>
      <c r="B509" s="171" t="s">
        <v>121</v>
      </c>
      <c r="C509">
        <v>65</v>
      </c>
      <c r="D509">
        <v>0</v>
      </c>
    </row>
    <row r="510" spans="1:4" hidden="1" x14ac:dyDescent="0.3">
      <c r="A510">
        <v>1991</v>
      </c>
      <c r="B510" s="171" t="s">
        <v>121</v>
      </c>
      <c r="C510">
        <v>70</v>
      </c>
      <c r="D510">
        <v>0</v>
      </c>
    </row>
    <row r="511" spans="1:4" hidden="1" x14ac:dyDescent="0.3">
      <c r="A511">
        <v>1991</v>
      </c>
      <c r="B511" s="171" t="s">
        <v>121</v>
      </c>
      <c r="C511">
        <v>80</v>
      </c>
      <c r="D511">
        <v>1</v>
      </c>
    </row>
    <row r="512" spans="1:4" hidden="1" x14ac:dyDescent="0.3">
      <c r="A512">
        <v>1991</v>
      </c>
      <c r="B512" s="171" t="s">
        <v>121</v>
      </c>
      <c r="C512">
        <v>85</v>
      </c>
      <c r="D512">
        <v>0</v>
      </c>
    </row>
    <row r="513" spans="1:4" hidden="1" x14ac:dyDescent="0.3">
      <c r="A513">
        <v>1992</v>
      </c>
      <c r="B513" s="171" t="s">
        <v>121</v>
      </c>
      <c r="C513">
        <v>0</v>
      </c>
      <c r="D513">
        <v>1</v>
      </c>
    </row>
    <row r="514" spans="1:4" hidden="1" x14ac:dyDescent="0.3">
      <c r="A514">
        <v>1992</v>
      </c>
      <c r="B514" s="171" t="s">
        <v>121</v>
      </c>
      <c r="C514">
        <v>1</v>
      </c>
      <c r="D514">
        <v>1</v>
      </c>
    </row>
    <row r="515" spans="1:4" hidden="1" x14ac:dyDescent="0.3">
      <c r="A515">
        <v>1992</v>
      </c>
      <c r="B515" s="171" t="s">
        <v>121</v>
      </c>
      <c r="C515">
        <v>5</v>
      </c>
      <c r="D515">
        <v>1</v>
      </c>
    </row>
    <row r="516" spans="1:4" hidden="1" x14ac:dyDescent="0.3">
      <c r="A516">
        <v>1992</v>
      </c>
      <c r="B516" s="171" t="s">
        <v>121</v>
      </c>
      <c r="C516">
        <v>10</v>
      </c>
      <c r="D516">
        <v>0</v>
      </c>
    </row>
    <row r="517" spans="1:4" hidden="1" x14ac:dyDescent="0.3">
      <c r="A517">
        <v>1992</v>
      </c>
      <c r="B517" s="171" t="s">
        <v>121</v>
      </c>
      <c r="C517">
        <v>15</v>
      </c>
      <c r="D517">
        <v>2</v>
      </c>
    </row>
    <row r="518" spans="1:4" hidden="1" x14ac:dyDescent="0.3">
      <c r="A518">
        <v>1992</v>
      </c>
      <c r="B518" s="171" t="s">
        <v>121</v>
      </c>
      <c r="C518">
        <v>20</v>
      </c>
      <c r="D518">
        <v>2</v>
      </c>
    </row>
    <row r="519" spans="1:4" hidden="1" x14ac:dyDescent="0.3">
      <c r="A519">
        <v>1992</v>
      </c>
      <c r="B519" s="171" t="s">
        <v>121</v>
      </c>
      <c r="C519">
        <v>25</v>
      </c>
      <c r="D519">
        <v>1</v>
      </c>
    </row>
    <row r="520" spans="1:4" hidden="1" x14ac:dyDescent="0.3">
      <c r="A520">
        <v>1992</v>
      </c>
      <c r="B520" s="171" t="s">
        <v>121</v>
      </c>
      <c r="C520">
        <v>30</v>
      </c>
      <c r="D520">
        <v>0</v>
      </c>
    </row>
    <row r="521" spans="1:4" hidden="1" x14ac:dyDescent="0.3">
      <c r="A521">
        <v>1992</v>
      </c>
      <c r="B521" s="171" t="s">
        <v>121</v>
      </c>
      <c r="C521">
        <v>35</v>
      </c>
      <c r="D521">
        <v>2</v>
      </c>
    </row>
    <row r="522" spans="1:4" hidden="1" x14ac:dyDescent="0.3">
      <c r="A522">
        <v>1992</v>
      </c>
      <c r="B522" s="171" t="s">
        <v>121</v>
      </c>
      <c r="C522">
        <v>40</v>
      </c>
      <c r="D522">
        <v>1</v>
      </c>
    </row>
    <row r="523" spans="1:4" hidden="1" x14ac:dyDescent="0.3">
      <c r="A523">
        <v>1992</v>
      </c>
      <c r="B523" s="171" t="s">
        <v>121</v>
      </c>
      <c r="C523">
        <v>45</v>
      </c>
      <c r="D523">
        <v>0</v>
      </c>
    </row>
    <row r="524" spans="1:4" hidden="1" x14ac:dyDescent="0.3">
      <c r="A524">
        <v>1992</v>
      </c>
      <c r="B524" s="171" t="s">
        <v>121</v>
      </c>
      <c r="C524">
        <v>50</v>
      </c>
      <c r="D524">
        <v>0</v>
      </c>
    </row>
    <row r="525" spans="1:4" hidden="1" x14ac:dyDescent="0.3">
      <c r="A525">
        <v>1992</v>
      </c>
      <c r="B525" s="171" t="s">
        <v>121</v>
      </c>
      <c r="C525">
        <v>55</v>
      </c>
      <c r="D525">
        <v>0</v>
      </c>
    </row>
    <row r="526" spans="1:4" hidden="1" x14ac:dyDescent="0.3">
      <c r="A526">
        <v>1992</v>
      </c>
      <c r="B526" s="171" t="s">
        <v>121</v>
      </c>
      <c r="C526">
        <v>60</v>
      </c>
      <c r="D526">
        <v>0</v>
      </c>
    </row>
    <row r="527" spans="1:4" hidden="1" x14ac:dyDescent="0.3">
      <c r="A527">
        <v>1992</v>
      </c>
      <c r="B527" s="171" t="s">
        <v>121</v>
      </c>
      <c r="C527">
        <v>65</v>
      </c>
      <c r="D527">
        <v>0</v>
      </c>
    </row>
    <row r="528" spans="1:4" hidden="1" x14ac:dyDescent="0.3">
      <c r="A528">
        <v>1992</v>
      </c>
      <c r="B528" s="171" t="s">
        <v>121</v>
      </c>
      <c r="C528">
        <v>70</v>
      </c>
      <c r="D528">
        <v>1</v>
      </c>
    </row>
    <row r="529" spans="1:4" hidden="1" x14ac:dyDescent="0.3">
      <c r="A529">
        <v>1992</v>
      </c>
      <c r="B529" s="171" t="s">
        <v>121</v>
      </c>
      <c r="C529">
        <v>75</v>
      </c>
      <c r="D529">
        <v>0</v>
      </c>
    </row>
    <row r="530" spans="1:4" hidden="1" x14ac:dyDescent="0.3">
      <c r="A530">
        <v>1992</v>
      </c>
      <c r="B530" s="171" t="s">
        <v>121</v>
      </c>
      <c r="C530">
        <v>80</v>
      </c>
      <c r="D530">
        <v>3</v>
      </c>
    </row>
    <row r="531" spans="1:4" hidden="1" x14ac:dyDescent="0.3">
      <c r="A531">
        <v>1992</v>
      </c>
      <c r="B531" s="171" t="s">
        <v>121</v>
      </c>
      <c r="C531">
        <v>85</v>
      </c>
      <c r="D531">
        <v>0</v>
      </c>
    </row>
    <row r="532" spans="1:4" hidden="1" x14ac:dyDescent="0.3">
      <c r="A532">
        <v>1993</v>
      </c>
      <c r="B532" s="171" t="s">
        <v>121</v>
      </c>
      <c r="C532">
        <v>1</v>
      </c>
      <c r="D532">
        <v>0</v>
      </c>
    </row>
    <row r="533" spans="1:4" hidden="1" x14ac:dyDescent="0.3">
      <c r="A533">
        <v>1993</v>
      </c>
      <c r="B533" s="171" t="s">
        <v>121</v>
      </c>
      <c r="C533">
        <v>5</v>
      </c>
      <c r="D533">
        <v>0</v>
      </c>
    </row>
    <row r="534" spans="1:4" hidden="1" x14ac:dyDescent="0.3">
      <c r="A534">
        <v>1993</v>
      </c>
      <c r="B534" s="171" t="s">
        <v>121</v>
      </c>
      <c r="C534">
        <v>10</v>
      </c>
      <c r="D534">
        <v>0</v>
      </c>
    </row>
    <row r="535" spans="1:4" hidden="1" x14ac:dyDescent="0.3">
      <c r="A535">
        <v>1993</v>
      </c>
      <c r="B535" s="171" t="s">
        <v>121</v>
      </c>
      <c r="C535">
        <v>15</v>
      </c>
      <c r="D535">
        <v>0</v>
      </c>
    </row>
    <row r="536" spans="1:4" hidden="1" x14ac:dyDescent="0.3">
      <c r="A536">
        <v>1993</v>
      </c>
      <c r="B536" s="171" t="s">
        <v>121</v>
      </c>
      <c r="C536">
        <v>20</v>
      </c>
      <c r="D536">
        <v>3</v>
      </c>
    </row>
    <row r="537" spans="1:4" hidden="1" x14ac:dyDescent="0.3">
      <c r="A537">
        <v>1993</v>
      </c>
      <c r="B537" s="171" t="s">
        <v>121</v>
      </c>
      <c r="C537">
        <v>25</v>
      </c>
      <c r="D537">
        <v>2</v>
      </c>
    </row>
    <row r="538" spans="1:4" hidden="1" x14ac:dyDescent="0.3">
      <c r="A538">
        <v>1993</v>
      </c>
      <c r="B538" s="171" t="s">
        <v>121</v>
      </c>
      <c r="C538">
        <v>30</v>
      </c>
      <c r="D538">
        <v>4</v>
      </c>
    </row>
    <row r="539" spans="1:4" hidden="1" x14ac:dyDescent="0.3">
      <c r="A539">
        <v>1993</v>
      </c>
      <c r="B539" s="171" t="s">
        <v>121</v>
      </c>
      <c r="C539">
        <v>35</v>
      </c>
      <c r="D539">
        <v>3</v>
      </c>
    </row>
    <row r="540" spans="1:4" hidden="1" x14ac:dyDescent="0.3">
      <c r="A540">
        <v>1993</v>
      </c>
      <c r="B540" s="171" t="s">
        <v>121</v>
      </c>
      <c r="C540">
        <v>40</v>
      </c>
      <c r="D540">
        <v>0</v>
      </c>
    </row>
    <row r="541" spans="1:4" hidden="1" x14ac:dyDescent="0.3">
      <c r="A541">
        <v>1993</v>
      </c>
      <c r="B541" s="171" t="s">
        <v>121</v>
      </c>
      <c r="C541">
        <v>45</v>
      </c>
      <c r="D541">
        <v>0</v>
      </c>
    </row>
    <row r="542" spans="1:4" hidden="1" x14ac:dyDescent="0.3">
      <c r="A542">
        <v>1993</v>
      </c>
      <c r="B542" s="171" t="s">
        <v>121</v>
      </c>
      <c r="C542">
        <v>50</v>
      </c>
      <c r="D542">
        <v>2</v>
      </c>
    </row>
    <row r="543" spans="1:4" hidden="1" x14ac:dyDescent="0.3">
      <c r="A543">
        <v>1993</v>
      </c>
      <c r="B543" s="171" t="s">
        <v>121</v>
      </c>
      <c r="C543">
        <v>55</v>
      </c>
      <c r="D543">
        <v>1</v>
      </c>
    </row>
    <row r="544" spans="1:4" hidden="1" x14ac:dyDescent="0.3">
      <c r="A544">
        <v>1993</v>
      </c>
      <c r="B544" s="171" t="s">
        <v>121</v>
      </c>
      <c r="C544">
        <v>60</v>
      </c>
      <c r="D544">
        <v>1</v>
      </c>
    </row>
    <row r="545" spans="1:4" hidden="1" x14ac:dyDescent="0.3">
      <c r="A545">
        <v>1993</v>
      </c>
      <c r="B545" s="171" t="s">
        <v>121</v>
      </c>
      <c r="C545">
        <v>65</v>
      </c>
      <c r="D545">
        <v>0</v>
      </c>
    </row>
    <row r="546" spans="1:4" hidden="1" x14ac:dyDescent="0.3">
      <c r="A546">
        <v>1993</v>
      </c>
      <c r="B546" s="171" t="s">
        <v>121</v>
      </c>
      <c r="C546">
        <v>70</v>
      </c>
      <c r="D546">
        <v>1</v>
      </c>
    </row>
    <row r="547" spans="1:4" hidden="1" x14ac:dyDescent="0.3">
      <c r="A547">
        <v>1993</v>
      </c>
      <c r="B547" s="171" t="s">
        <v>121</v>
      </c>
      <c r="C547">
        <v>80</v>
      </c>
      <c r="D547">
        <v>1</v>
      </c>
    </row>
    <row r="548" spans="1:4" hidden="1" x14ac:dyDescent="0.3">
      <c r="A548">
        <v>1994</v>
      </c>
      <c r="B548" s="171" t="s">
        <v>121</v>
      </c>
      <c r="C548">
        <v>5</v>
      </c>
      <c r="D548">
        <v>0</v>
      </c>
    </row>
    <row r="549" spans="1:4" hidden="1" x14ac:dyDescent="0.3">
      <c r="A549">
        <v>1994</v>
      </c>
      <c r="B549" s="171" t="s">
        <v>121</v>
      </c>
      <c r="C549">
        <v>10</v>
      </c>
      <c r="D549">
        <v>1.1111111111111101</v>
      </c>
    </row>
    <row r="550" spans="1:4" hidden="1" x14ac:dyDescent="0.3">
      <c r="A550">
        <v>1994</v>
      </c>
      <c r="B550" s="171" t="s">
        <v>121</v>
      </c>
      <c r="C550">
        <v>15</v>
      </c>
      <c r="D550">
        <v>0</v>
      </c>
    </row>
    <row r="551" spans="1:4" hidden="1" x14ac:dyDescent="0.3">
      <c r="A551">
        <v>1994</v>
      </c>
      <c r="B551" s="171" t="s">
        <v>121</v>
      </c>
      <c r="C551">
        <v>20</v>
      </c>
      <c r="D551">
        <v>4.4444444444444402</v>
      </c>
    </row>
    <row r="552" spans="1:4" hidden="1" x14ac:dyDescent="0.3">
      <c r="A552">
        <v>1994</v>
      </c>
      <c r="B552" s="171" t="s">
        <v>121</v>
      </c>
      <c r="C552">
        <v>25</v>
      </c>
      <c r="D552">
        <v>0</v>
      </c>
    </row>
    <row r="553" spans="1:4" hidden="1" x14ac:dyDescent="0.3">
      <c r="A553">
        <v>1994</v>
      </c>
      <c r="B553" s="171" t="s">
        <v>121</v>
      </c>
      <c r="C553">
        <v>30</v>
      </c>
      <c r="D553">
        <v>0</v>
      </c>
    </row>
    <row r="554" spans="1:4" hidden="1" x14ac:dyDescent="0.3">
      <c r="A554">
        <v>1994</v>
      </c>
      <c r="B554" s="171" t="s">
        <v>121</v>
      </c>
      <c r="C554">
        <v>35</v>
      </c>
      <c r="D554">
        <v>0</v>
      </c>
    </row>
    <row r="555" spans="1:4" hidden="1" x14ac:dyDescent="0.3">
      <c r="A555">
        <v>1994</v>
      </c>
      <c r="B555" s="171" t="s">
        <v>121</v>
      </c>
      <c r="C555">
        <v>40</v>
      </c>
      <c r="D555">
        <v>0</v>
      </c>
    </row>
    <row r="556" spans="1:4" hidden="1" x14ac:dyDescent="0.3">
      <c r="A556">
        <v>1994</v>
      </c>
      <c r="B556" s="171" t="s">
        <v>121</v>
      </c>
      <c r="C556">
        <v>45</v>
      </c>
      <c r="D556">
        <v>2.2222222222222201</v>
      </c>
    </row>
    <row r="557" spans="1:4" hidden="1" x14ac:dyDescent="0.3">
      <c r="A557">
        <v>1994</v>
      </c>
      <c r="B557" s="171" t="s">
        <v>121</v>
      </c>
      <c r="C557">
        <v>50</v>
      </c>
      <c r="D557">
        <v>0</v>
      </c>
    </row>
    <row r="558" spans="1:4" hidden="1" x14ac:dyDescent="0.3">
      <c r="A558">
        <v>1994</v>
      </c>
      <c r="B558" s="171" t="s">
        <v>121</v>
      </c>
      <c r="C558">
        <v>55</v>
      </c>
      <c r="D558">
        <v>2.2222222222222201</v>
      </c>
    </row>
    <row r="559" spans="1:4" hidden="1" x14ac:dyDescent="0.3">
      <c r="A559">
        <v>1994</v>
      </c>
      <c r="B559" s="171" t="s">
        <v>121</v>
      </c>
      <c r="C559">
        <v>60</v>
      </c>
      <c r="D559">
        <v>0</v>
      </c>
    </row>
    <row r="560" spans="1:4" hidden="1" x14ac:dyDescent="0.3">
      <c r="A560">
        <v>1994</v>
      </c>
      <c r="B560" s="171" t="s">
        <v>121</v>
      </c>
      <c r="C560">
        <v>65</v>
      </c>
      <c r="D560">
        <v>0</v>
      </c>
    </row>
    <row r="561" spans="1:4" hidden="1" x14ac:dyDescent="0.3">
      <c r="A561">
        <v>1994</v>
      </c>
      <c r="B561" s="171" t="s">
        <v>121</v>
      </c>
      <c r="C561">
        <v>70</v>
      </c>
      <c r="D561">
        <v>0</v>
      </c>
    </row>
    <row r="562" spans="1:4" hidden="1" x14ac:dyDescent="0.3">
      <c r="A562">
        <v>1994</v>
      </c>
      <c r="B562" s="171" t="s">
        <v>121</v>
      </c>
      <c r="C562">
        <v>75</v>
      </c>
      <c r="D562">
        <v>0</v>
      </c>
    </row>
    <row r="563" spans="1:4" hidden="1" x14ac:dyDescent="0.3">
      <c r="A563">
        <v>1994</v>
      </c>
      <c r="B563" s="171" t="s">
        <v>121</v>
      </c>
      <c r="C563">
        <v>80</v>
      </c>
      <c r="D563">
        <v>0</v>
      </c>
    </row>
    <row r="564" spans="1:4" hidden="1" x14ac:dyDescent="0.3">
      <c r="A564">
        <v>1994</v>
      </c>
      <c r="B564" s="171" t="s">
        <v>121</v>
      </c>
      <c r="C564">
        <v>85</v>
      </c>
      <c r="D564">
        <v>0</v>
      </c>
    </row>
    <row r="565" spans="1:4" hidden="1" x14ac:dyDescent="0.3">
      <c r="A565">
        <v>1995</v>
      </c>
      <c r="B565" s="171" t="s">
        <v>121</v>
      </c>
      <c r="C565">
        <v>0</v>
      </c>
      <c r="D565">
        <v>1</v>
      </c>
    </row>
    <row r="566" spans="1:4" hidden="1" x14ac:dyDescent="0.3">
      <c r="A566">
        <v>1995</v>
      </c>
      <c r="B566" s="171" t="s">
        <v>121</v>
      </c>
      <c r="C566">
        <v>1</v>
      </c>
      <c r="D566">
        <v>1</v>
      </c>
    </row>
    <row r="567" spans="1:4" hidden="1" x14ac:dyDescent="0.3">
      <c r="A567">
        <v>1995</v>
      </c>
      <c r="B567" s="171" t="s">
        <v>121</v>
      </c>
      <c r="C567">
        <v>5</v>
      </c>
      <c r="D567">
        <v>1</v>
      </c>
    </row>
    <row r="568" spans="1:4" hidden="1" x14ac:dyDescent="0.3">
      <c r="A568">
        <v>1995</v>
      </c>
      <c r="B568" s="171" t="s">
        <v>121</v>
      </c>
      <c r="C568">
        <v>10</v>
      </c>
      <c r="D568">
        <v>0</v>
      </c>
    </row>
    <row r="569" spans="1:4" hidden="1" x14ac:dyDescent="0.3">
      <c r="A569">
        <v>1995</v>
      </c>
      <c r="B569" s="171" t="s">
        <v>121</v>
      </c>
      <c r="C569">
        <v>15</v>
      </c>
      <c r="D569">
        <v>5</v>
      </c>
    </row>
    <row r="570" spans="1:4" hidden="1" x14ac:dyDescent="0.3">
      <c r="A570">
        <v>1995</v>
      </c>
      <c r="B570" s="171" t="s">
        <v>121</v>
      </c>
      <c r="C570">
        <v>20</v>
      </c>
      <c r="D570">
        <v>1</v>
      </c>
    </row>
    <row r="571" spans="1:4" hidden="1" x14ac:dyDescent="0.3">
      <c r="A571">
        <v>1995</v>
      </c>
      <c r="B571" s="171" t="s">
        <v>121</v>
      </c>
      <c r="C571">
        <v>25</v>
      </c>
      <c r="D571">
        <v>2</v>
      </c>
    </row>
    <row r="572" spans="1:4" hidden="1" x14ac:dyDescent="0.3">
      <c r="A572">
        <v>1995</v>
      </c>
      <c r="B572" s="171" t="s">
        <v>121</v>
      </c>
      <c r="C572">
        <v>30</v>
      </c>
      <c r="D572">
        <v>2</v>
      </c>
    </row>
    <row r="573" spans="1:4" hidden="1" x14ac:dyDescent="0.3">
      <c r="A573">
        <v>1995</v>
      </c>
      <c r="B573" s="171" t="s">
        <v>121</v>
      </c>
      <c r="C573">
        <v>35</v>
      </c>
      <c r="D573">
        <v>2</v>
      </c>
    </row>
    <row r="574" spans="1:4" hidden="1" x14ac:dyDescent="0.3">
      <c r="A574">
        <v>1995</v>
      </c>
      <c r="B574" s="171" t="s">
        <v>121</v>
      </c>
      <c r="C574">
        <v>40</v>
      </c>
      <c r="D574">
        <v>0</v>
      </c>
    </row>
    <row r="575" spans="1:4" hidden="1" x14ac:dyDescent="0.3">
      <c r="A575">
        <v>1995</v>
      </c>
      <c r="B575" s="171" t="s">
        <v>121</v>
      </c>
      <c r="C575">
        <v>45</v>
      </c>
      <c r="D575">
        <v>1</v>
      </c>
    </row>
    <row r="576" spans="1:4" hidden="1" x14ac:dyDescent="0.3">
      <c r="A576">
        <v>1995</v>
      </c>
      <c r="B576" s="171" t="s">
        <v>121</v>
      </c>
      <c r="C576">
        <v>50</v>
      </c>
      <c r="D576">
        <v>0</v>
      </c>
    </row>
    <row r="577" spans="1:4" hidden="1" x14ac:dyDescent="0.3">
      <c r="A577">
        <v>1995</v>
      </c>
      <c r="B577" s="171" t="s">
        <v>121</v>
      </c>
      <c r="C577">
        <v>55</v>
      </c>
      <c r="D577">
        <v>2</v>
      </c>
    </row>
    <row r="578" spans="1:4" hidden="1" x14ac:dyDescent="0.3">
      <c r="A578">
        <v>1995</v>
      </c>
      <c r="B578" s="171" t="s">
        <v>121</v>
      </c>
      <c r="C578">
        <v>60</v>
      </c>
      <c r="D578">
        <v>1</v>
      </c>
    </row>
    <row r="579" spans="1:4" hidden="1" x14ac:dyDescent="0.3">
      <c r="A579">
        <v>1995</v>
      </c>
      <c r="B579" s="171" t="s">
        <v>121</v>
      </c>
      <c r="C579">
        <v>65</v>
      </c>
      <c r="D579">
        <v>1</v>
      </c>
    </row>
    <row r="580" spans="1:4" hidden="1" x14ac:dyDescent="0.3">
      <c r="A580">
        <v>1995</v>
      </c>
      <c r="B580" s="171" t="s">
        <v>121</v>
      </c>
      <c r="C580">
        <v>75</v>
      </c>
      <c r="D580">
        <v>0</v>
      </c>
    </row>
    <row r="581" spans="1:4" hidden="1" x14ac:dyDescent="0.3">
      <c r="A581">
        <v>1996</v>
      </c>
      <c r="B581" s="171" t="s">
        <v>121</v>
      </c>
      <c r="C581">
        <v>5</v>
      </c>
      <c r="D581">
        <v>1</v>
      </c>
    </row>
    <row r="582" spans="1:4" hidden="1" x14ac:dyDescent="0.3">
      <c r="A582">
        <v>1996</v>
      </c>
      <c r="B582" s="171" t="s">
        <v>121</v>
      </c>
      <c r="C582">
        <v>10</v>
      </c>
      <c r="D582">
        <v>1</v>
      </c>
    </row>
    <row r="583" spans="1:4" hidden="1" x14ac:dyDescent="0.3">
      <c r="A583">
        <v>1996</v>
      </c>
      <c r="B583" s="171" t="s">
        <v>121</v>
      </c>
      <c r="C583">
        <v>15</v>
      </c>
      <c r="D583">
        <v>2</v>
      </c>
    </row>
    <row r="584" spans="1:4" hidden="1" x14ac:dyDescent="0.3">
      <c r="A584">
        <v>1996</v>
      </c>
      <c r="B584" s="171" t="s">
        <v>121</v>
      </c>
      <c r="C584">
        <v>20</v>
      </c>
      <c r="D584">
        <v>1</v>
      </c>
    </row>
    <row r="585" spans="1:4" hidden="1" x14ac:dyDescent="0.3">
      <c r="A585">
        <v>1996</v>
      </c>
      <c r="B585" s="171" t="s">
        <v>121</v>
      </c>
      <c r="C585">
        <v>25</v>
      </c>
      <c r="D585">
        <v>2</v>
      </c>
    </row>
    <row r="586" spans="1:4" hidden="1" x14ac:dyDescent="0.3">
      <c r="A586">
        <v>1996</v>
      </c>
      <c r="B586" s="171" t="s">
        <v>121</v>
      </c>
      <c r="C586">
        <v>30</v>
      </c>
      <c r="D586">
        <v>2</v>
      </c>
    </row>
    <row r="587" spans="1:4" hidden="1" x14ac:dyDescent="0.3">
      <c r="A587">
        <v>1996</v>
      </c>
      <c r="B587" s="171" t="s">
        <v>121</v>
      </c>
      <c r="C587">
        <v>35</v>
      </c>
      <c r="D587">
        <v>1</v>
      </c>
    </row>
    <row r="588" spans="1:4" hidden="1" x14ac:dyDescent="0.3">
      <c r="A588">
        <v>1996</v>
      </c>
      <c r="B588" s="171" t="s">
        <v>121</v>
      </c>
      <c r="C588">
        <v>40</v>
      </c>
      <c r="D588">
        <v>1</v>
      </c>
    </row>
    <row r="589" spans="1:4" hidden="1" x14ac:dyDescent="0.3">
      <c r="A589">
        <v>1996</v>
      </c>
      <c r="B589" s="171" t="s">
        <v>121</v>
      </c>
      <c r="C589">
        <v>45</v>
      </c>
      <c r="D589">
        <v>2</v>
      </c>
    </row>
    <row r="590" spans="1:4" hidden="1" x14ac:dyDescent="0.3">
      <c r="A590">
        <v>1996</v>
      </c>
      <c r="B590" s="171" t="s">
        <v>121</v>
      </c>
      <c r="C590">
        <v>50</v>
      </c>
      <c r="D590">
        <v>2</v>
      </c>
    </row>
    <row r="591" spans="1:4" hidden="1" x14ac:dyDescent="0.3">
      <c r="A591">
        <v>1996</v>
      </c>
      <c r="B591" s="171" t="s">
        <v>121</v>
      </c>
      <c r="C591">
        <v>55</v>
      </c>
      <c r="D591">
        <v>1</v>
      </c>
    </row>
    <row r="592" spans="1:4" hidden="1" x14ac:dyDescent="0.3">
      <c r="A592">
        <v>1996</v>
      </c>
      <c r="B592" s="171" t="s">
        <v>121</v>
      </c>
      <c r="C592">
        <v>60</v>
      </c>
      <c r="D592">
        <v>0</v>
      </c>
    </row>
    <row r="593" spans="1:4" hidden="1" x14ac:dyDescent="0.3">
      <c r="A593">
        <v>1996</v>
      </c>
      <c r="B593" s="171" t="s">
        <v>121</v>
      </c>
      <c r="C593">
        <v>65</v>
      </c>
      <c r="D593">
        <v>1</v>
      </c>
    </row>
    <row r="594" spans="1:4" hidden="1" x14ac:dyDescent="0.3">
      <c r="A594">
        <v>1996</v>
      </c>
      <c r="B594" s="171" t="s">
        <v>121</v>
      </c>
      <c r="C594">
        <v>70</v>
      </c>
      <c r="D594">
        <v>0</v>
      </c>
    </row>
    <row r="595" spans="1:4" hidden="1" x14ac:dyDescent="0.3">
      <c r="A595">
        <v>1996</v>
      </c>
      <c r="B595" s="171" t="s">
        <v>121</v>
      </c>
      <c r="C595">
        <v>75</v>
      </c>
      <c r="D595">
        <v>1</v>
      </c>
    </row>
    <row r="596" spans="1:4" hidden="1" x14ac:dyDescent="0.3">
      <c r="A596">
        <v>1996</v>
      </c>
      <c r="B596" s="171" t="s">
        <v>121</v>
      </c>
      <c r="C596">
        <v>80</v>
      </c>
      <c r="D596">
        <v>0</v>
      </c>
    </row>
    <row r="597" spans="1:4" hidden="1" x14ac:dyDescent="0.3">
      <c r="A597">
        <v>1996</v>
      </c>
      <c r="B597" s="171" t="s">
        <v>121</v>
      </c>
      <c r="C597">
        <v>85</v>
      </c>
      <c r="D597">
        <v>1</v>
      </c>
    </row>
    <row r="598" spans="1:4" hidden="1" x14ac:dyDescent="0.3">
      <c r="A598">
        <v>1998</v>
      </c>
      <c r="B598" s="171" t="s">
        <v>121</v>
      </c>
      <c r="C598">
        <v>1</v>
      </c>
      <c r="D598">
        <v>2</v>
      </c>
    </row>
    <row r="599" spans="1:4" hidden="1" x14ac:dyDescent="0.3">
      <c r="A599">
        <v>1998</v>
      </c>
      <c r="B599" s="171" t="s">
        <v>121</v>
      </c>
      <c r="C599">
        <v>5</v>
      </c>
      <c r="D599">
        <v>0</v>
      </c>
    </row>
    <row r="600" spans="1:4" hidden="1" x14ac:dyDescent="0.3">
      <c r="A600">
        <v>1998</v>
      </c>
      <c r="B600" s="171" t="s">
        <v>121</v>
      </c>
      <c r="C600">
        <v>10</v>
      </c>
      <c r="D600">
        <v>1</v>
      </c>
    </row>
    <row r="601" spans="1:4" hidden="1" x14ac:dyDescent="0.3">
      <c r="A601">
        <v>1998</v>
      </c>
      <c r="B601" s="171" t="s">
        <v>121</v>
      </c>
      <c r="C601">
        <v>15</v>
      </c>
      <c r="D601">
        <v>1</v>
      </c>
    </row>
    <row r="602" spans="1:4" hidden="1" x14ac:dyDescent="0.3">
      <c r="A602">
        <v>1998</v>
      </c>
      <c r="B602" s="171" t="s">
        <v>121</v>
      </c>
      <c r="C602">
        <v>20</v>
      </c>
      <c r="D602">
        <v>1</v>
      </c>
    </row>
    <row r="603" spans="1:4" hidden="1" x14ac:dyDescent="0.3">
      <c r="A603">
        <v>1998</v>
      </c>
      <c r="B603" s="171" t="s">
        <v>121</v>
      </c>
      <c r="C603">
        <v>25</v>
      </c>
      <c r="D603">
        <v>5</v>
      </c>
    </row>
    <row r="604" spans="1:4" hidden="1" x14ac:dyDescent="0.3">
      <c r="A604">
        <v>1998</v>
      </c>
      <c r="B604" s="171" t="s">
        <v>121</v>
      </c>
      <c r="C604">
        <v>30</v>
      </c>
      <c r="D604">
        <v>2</v>
      </c>
    </row>
    <row r="605" spans="1:4" hidden="1" x14ac:dyDescent="0.3">
      <c r="A605">
        <v>1998</v>
      </c>
      <c r="B605" s="171" t="s">
        <v>121</v>
      </c>
      <c r="C605">
        <v>35</v>
      </c>
      <c r="D605">
        <v>3</v>
      </c>
    </row>
    <row r="606" spans="1:4" hidden="1" x14ac:dyDescent="0.3">
      <c r="A606">
        <v>1998</v>
      </c>
      <c r="B606" s="171" t="s">
        <v>121</v>
      </c>
      <c r="C606">
        <v>40</v>
      </c>
      <c r="D606">
        <v>0</v>
      </c>
    </row>
    <row r="607" spans="1:4" hidden="1" x14ac:dyDescent="0.3">
      <c r="A607">
        <v>1998</v>
      </c>
      <c r="B607" s="171" t="s">
        <v>121</v>
      </c>
      <c r="C607">
        <v>45</v>
      </c>
      <c r="D607">
        <v>0</v>
      </c>
    </row>
    <row r="608" spans="1:4" hidden="1" x14ac:dyDescent="0.3">
      <c r="A608">
        <v>1998</v>
      </c>
      <c r="B608" s="171" t="s">
        <v>121</v>
      </c>
      <c r="C608">
        <v>50</v>
      </c>
      <c r="D608">
        <v>0</v>
      </c>
    </row>
    <row r="609" spans="1:4" hidden="1" x14ac:dyDescent="0.3">
      <c r="A609">
        <v>1998</v>
      </c>
      <c r="B609" s="171" t="s">
        <v>121</v>
      </c>
      <c r="C609">
        <v>55</v>
      </c>
      <c r="D609">
        <v>2</v>
      </c>
    </row>
    <row r="610" spans="1:4" hidden="1" x14ac:dyDescent="0.3">
      <c r="A610">
        <v>1998</v>
      </c>
      <c r="B610" s="171" t="s">
        <v>121</v>
      </c>
      <c r="C610">
        <v>60</v>
      </c>
      <c r="D610">
        <v>0</v>
      </c>
    </row>
    <row r="611" spans="1:4" hidden="1" x14ac:dyDescent="0.3">
      <c r="A611">
        <v>1998</v>
      </c>
      <c r="B611" s="171" t="s">
        <v>121</v>
      </c>
      <c r="C611">
        <v>65</v>
      </c>
      <c r="D611">
        <v>1</v>
      </c>
    </row>
    <row r="612" spans="1:4" hidden="1" x14ac:dyDescent="0.3">
      <c r="A612">
        <v>1998</v>
      </c>
      <c r="B612" s="171" t="s">
        <v>121</v>
      </c>
      <c r="C612">
        <v>70</v>
      </c>
      <c r="D612">
        <v>2</v>
      </c>
    </row>
    <row r="613" spans="1:4" hidden="1" x14ac:dyDescent="0.3">
      <c r="A613">
        <v>1998</v>
      </c>
      <c r="B613" s="171" t="s">
        <v>121</v>
      </c>
      <c r="C613">
        <v>75</v>
      </c>
      <c r="D613">
        <v>1</v>
      </c>
    </row>
    <row r="614" spans="1:4" hidden="1" x14ac:dyDescent="0.3">
      <c r="A614">
        <v>1998</v>
      </c>
      <c r="B614" s="171" t="s">
        <v>121</v>
      </c>
      <c r="C614">
        <v>80</v>
      </c>
      <c r="D614">
        <v>0</v>
      </c>
    </row>
    <row r="615" spans="1:4" hidden="1" x14ac:dyDescent="0.3">
      <c r="A615">
        <v>1998</v>
      </c>
      <c r="B615" s="171" t="s">
        <v>121</v>
      </c>
      <c r="C615">
        <v>85</v>
      </c>
      <c r="D615">
        <v>3</v>
      </c>
    </row>
    <row r="616" spans="1:4" hidden="1" x14ac:dyDescent="0.3">
      <c r="A616">
        <v>1999</v>
      </c>
      <c r="B616" s="171" t="s">
        <v>121</v>
      </c>
      <c r="C616">
        <v>0</v>
      </c>
      <c r="D616">
        <v>1.0303030303030301</v>
      </c>
    </row>
    <row r="617" spans="1:4" hidden="1" x14ac:dyDescent="0.3">
      <c r="A617">
        <v>1999</v>
      </c>
      <c r="B617" s="171" t="s">
        <v>121</v>
      </c>
      <c r="C617">
        <v>1</v>
      </c>
      <c r="D617">
        <v>1.0303030303030301</v>
      </c>
    </row>
    <row r="618" spans="1:4" hidden="1" x14ac:dyDescent="0.3">
      <c r="A618">
        <v>1999</v>
      </c>
      <c r="B618" s="171" t="s">
        <v>121</v>
      </c>
      <c r="C618">
        <v>5</v>
      </c>
      <c r="D618">
        <v>4.1212121212121202</v>
      </c>
    </row>
    <row r="619" spans="1:4" hidden="1" x14ac:dyDescent="0.3">
      <c r="A619">
        <v>1999</v>
      </c>
      <c r="B619" s="171" t="s">
        <v>121</v>
      </c>
      <c r="C619">
        <v>10</v>
      </c>
      <c r="D619">
        <v>2.0606060606060601</v>
      </c>
    </row>
    <row r="620" spans="1:4" hidden="1" x14ac:dyDescent="0.3">
      <c r="A620">
        <v>1999</v>
      </c>
      <c r="B620" s="171" t="s">
        <v>121</v>
      </c>
      <c r="C620">
        <v>15</v>
      </c>
      <c r="D620">
        <v>6.1818181818181799</v>
      </c>
    </row>
    <row r="621" spans="1:4" hidden="1" x14ac:dyDescent="0.3">
      <c r="A621">
        <v>1999</v>
      </c>
      <c r="B621" s="171" t="s">
        <v>121</v>
      </c>
      <c r="C621">
        <v>20</v>
      </c>
      <c r="D621">
        <v>1.0303030303030301</v>
      </c>
    </row>
    <row r="622" spans="1:4" hidden="1" x14ac:dyDescent="0.3">
      <c r="A622">
        <v>1999</v>
      </c>
      <c r="B622" s="171" t="s">
        <v>121</v>
      </c>
      <c r="C622">
        <v>25</v>
      </c>
      <c r="D622">
        <v>4.1212121212121202</v>
      </c>
    </row>
    <row r="623" spans="1:4" hidden="1" x14ac:dyDescent="0.3">
      <c r="A623">
        <v>1999</v>
      </c>
      <c r="B623" s="171" t="s">
        <v>121</v>
      </c>
      <c r="C623">
        <v>30</v>
      </c>
      <c r="D623">
        <v>1.0303030303030301</v>
      </c>
    </row>
    <row r="624" spans="1:4" hidden="1" x14ac:dyDescent="0.3">
      <c r="A624">
        <v>1999</v>
      </c>
      <c r="B624" s="171" t="s">
        <v>121</v>
      </c>
      <c r="C624">
        <v>35</v>
      </c>
      <c r="D624">
        <v>2.0606060606060601</v>
      </c>
    </row>
    <row r="625" spans="1:4" hidden="1" x14ac:dyDescent="0.3">
      <c r="A625">
        <v>1999</v>
      </c>
      <c r="B625" s="171" t="s">
        <v>121</v>
      </c>
      <c r="C625">
        <v>40</v>
      </c>
      <c r="D625">
        <v>3.0909090909090899</v>
      </c>
    </row>
    <row r="626" spans="1:4" hidden="1" x14ac:dyDescent="0.3">
      <c r="A626">
        <v>1999</v>
      </c>
      <c r="B626" s="171" t="s">
        <v>121</v>
      </c>
      <c r="C626">
        <v>45</v>
      </c>
      <c r="D626">
        <v>3.0909090909090899</v>
      </c>
    </row>
    <row r="627" spans="1:4" hidden="1" x14ac:dyDescent="0.3">
      <c r="A627">
        <v>1999</v>
      </c>
      <c r="B627" s="171" t="s">
        <v>121</v>
      </c>
      <c r="C627">
        <v>50</v>
      </c>
      <c r="D627">
        <v>2.0606060606060601</v>
      </c>
    </row>
    <row r="628" spans="1:4" hidden="1" x14ac:dyDescent="0.3">
      <c r="A628">
        <v>1999</v>
      </c>
      <c r="B628" s="171" t="s">
        <v>121</v>
      </c>
      <c r="C628">
        <v>55</v>
      </c>
      <c r="D628">
        <v>0</v>
      </c>
    </row>
    <row r="629" spans="1:4" hidden="1" x14ac:dyDescent="0.3">
      <c r="A629">
        <v>1999</v>
      </c>
      <c r="B629" s="171" t="s">
        <v>121</v>
      </c>
      <c r="C629">
        <v>60</v>
      </c>
      <c r="D629">
        <v>0</v>
      </c>
    </row>
    <row r="630" spans="1:4" hidden="1" x14ac:dyDescent="0.3">
      <c r="A630">
        <v>1999</v>
      </c>
      <c r="B630" s="171" t="s">
        <v>121</v>
      </c>
      <c r="C630">
        <v>65</v>
      </c>
      <c r="D630">
        <v>0</v>
      </c>
    </row>
    <row r="631" spans="1:4" hidden="1" x14ac:dyDescent="0.3">
      <c r="A631">
        <v>1999</v>
      </c>
      <c r="B631" s="171" t="s">
        <v>121</v>
      </c>
      <c r="C631">
        <v>70</v>
      </c>
      <c r="D631">
        <v>1.0303030303030301</v>
      </c>
    </row>
    <row r="632" spans="1:4" hidden="1" x14ac:dyDescent="0.3">
      <c r="A632">
        <v>1999</v>
      </c>
      <c r="B632" s="171" t="s">
        <v>121</v>
      </c>
      <c r="C632">
        <v>75</v>
      </c>
      <c r="D632">
        <v>1.0303030303030301</v>
      </c>
    </row>
    <row r="633" spans="1:4" hidden="1" x14ac:dyDescent="0.3">
      <c r="A633">
        <v>1999</v>
      </c>
      <c r="B633" s="171" t="s">
        <v>121</v>
      </c>
      <c r="C633">
        <v>80</v>
      </c>
      <c r="D633">
        <v>1.0303030303030301</v>
      </c>
    </row>
    <row r="634" spans="1:4" hidden="1" x14ac:dyDescent="0.3">
      <c r="A634">
        <v>1999</v>
      </c>
      <c r="B634" s="171" t="s">
        <v>121</v>
      </c>
      <c r="C634">
        <v>85</v>
      </c>
      <c r="D634">
        <v>0</v>
      </c>
    </row>
    <row r="635" spans="1:4" hidden="1" x14ac:dyDescent="0.3">
      <c r="A635">
        <v>2000</v>
      </c>
      <c r="B635" s="171" t="s">
        <v>121</v>
      </c>
      <c r="C635">
        <v>0</v>
      </c>
      <c r="D635">
        <v>0</v>
      </c>
    </row>
    <row r="636" spans="1:4" hidden="1" x14ac:dyDescent="0.3">
      <c r="A636">
        <v>2000</v>
      </c>
      <c r="B636" s="171" t="s">
        <v>121</v>
      </c>
      <c r="C636">
        <v>1</v>
      </c>
      <c r="D636">
        <v>3</v>
      </c>
    </row>
    <row r="637" spans="1:4" hidden="1" x14ac:dyDescent="0.3">
      <c r="A637">
        <v>2000</v>
      </c>
      <c r="B637" s="171" t="s">
        <v>121</v>
      </c>
      <c r="C637">
        <v>5</v>
      </c>
      <c r="D637">
        <v>1</v>
      </c>
    </row>
    <row r="638" spans="1:4" hidden="1" x14ac:dyDescent="0.3">
      <c r="A638">
        <v>2000</v>
      </c>
      <c r="B638" s="171" t="s">
        <v>121</v>
      </c>
      <c r="C638">
        <v>10</v>
      </c>
      <c r="D638">
        <v>2</v>
      </c>
    </row>
    <row r="639" spans="1:4" hidden="1" x14ac:dyDescent="0.3">
      <c r="A639">
        <v>2000</v>
      </c>
      <c r="B639" s="171" t="s">
        <v>121</v>
      </c>
      <c r="C639">
        <v>15</v>
      </c>
      <c r="D639">
        <v>3</v>
      </c>
    </row>
    <row r="640" spans="1:4" hidden="1" x14ac:dyDescent="0.3">
      <c r="A640">
        <v>2000</v>
      </c>
      <c r="B640" s="171" t="s">
        <v>121</v>
      </c>
      <c r="C640">
        <v>20</v>
      </c>
      <c r="D640">
        <v>3</v>
      </c>
    </row>
    <row r="641" spans="1:4" hidden="1" x14ac:dyDescent="0.3">
      <c r="A641">
        <v>2000</v>
      </c>
      <c r="B641" s="171" t="s">
        <v>121</v>
      </c>
      <c r="C641">
        <v>25</v>
      </c>
      <c r="D641">
        <v>2</v>
      </c>
    </row>
    <row r="642" spans="1:4" hidden="1" x14ac:dyDescent="0.3">
      <c r="A642">
        <v>2000</v>
      </c>
      <c r="B642" s="171" t="s">
        <v>121</v>
      </c>
      <c r="C642">
        <v>30</v>
      </c>
      <c r="D642">
        <v>2</v>
      </c>
    </row>
    <row r="643" spans="1:4" hidden="1" x14ac:dyDescent="0.3">
      <c r="A643">
        <v>2000</v>
      </c>
      <c r="B643" s="171" t="s">
        <v>121</v>
      </c>
      <c r="C643">
        <v>35</v>
      </c>
      <c r="D643">
        <v>5</v>
      </c>
    </row>
    <row r="644" spans="1:4" hidden="1" x14ac:dyDescent="0.3">
      <c r="A644">
        <v>2000</v>
      </c>
      <c r="B644" s="171" t="s">
        <v>121</v>
      </c>
      <c r="C644">
        <v>40</v>
      </c>
      <c r="D644">
        <v>1</v>
      </c>
    </row>
    <row r="645" spans="1:4" hidden="1" x14ac:dyDescent="0.3">
      <c r="A645">
        <v>2000</v>
      </c>
      <c r="B645" s="171" t="s">
        <v>121</v>
      </c>
      <c r="C645">
        <v>45</v>
      </c>
      <c r="D645">
        <v>1</v>
      </c>
    </row>
    <row r="646" spans="1:4" hidden="1" x14ac:dyDescent="0.3">
      <c r="A646">
        <v>2000</v>
      </c>
      <c r="B646" s="171" t="s">
        <v>121</v>
      </c>
      <c r="C646">
        <v>50</v>
      </c>
      <c r="D646">
        <v>1</v>
      </c>
    </row>
    <row r="647" spans="1:4" hidden="1" x14ac:dyDescent="0.3">
      <c r="A647">
        <v>2000</v>
      </c>
      <c r="B647" s="171" t="s">
        <v>121</v>
      </c>
      <c r="C647">
        <v>55</v>
      </c>
      <c r="D647">
        <v>1</v>
      </c>
    </row>
    <row r="648" spans="1:4" hidden="1" x14ac:dyDescent="0.3">
      <c r="A648">
        <v>2000</v>
      </c>
      <c r="B648" s="171" t="s">
        <v>121</v>
      </c>
      <c r="C648">
        <v>60</v>
      </c>
      <c r="D648">
        <v>3</v>
      </c>
    </row>
    <row r="649" spans="1:4" hidden="1" x14ac:dyDescent="0.3">
      <c r="A649">
        <v>2000</v>
      </c>
      <c r="B649" s="171" t="s">
        <v>121</v>
      </c>
      <c r="C649">
        <v>65</v>
      </c>
      <c r="D649">
        <v>1</v>
      </c>
    </row>
    <row r="650" spans="1:4" hidden="1" x14ac:dyDescent="0.3">
      <c r="A650">
        <v>2000</v>
      </c>
      <c r="B650" s="171" t="s">
        <v>121</v>
      </c>
      <c r="C650">
        <v>70</v>
      </c>
      <c r="D650">
        <v>4</v>
      </c>
    </row>
    <row r="651" spans="1:4" hidden="1" x14ac:dyDescent="0.3">
      <c r="A651">
        <v>2000</v>
      </c>
      <c r="B651" s="171" t="s">
        <v>121</v>
      </c>
      <c r="C651">
        <v>75</v>
      </c>
      <c r="D651">
        <v>0</v>
      </c>
    </row>
    <row r="652" spans="1:4" hidden="1" x14ac:dyDescent="0.3">
      <c r="A652">
        <v>2000</v>
      </c>
      <c r="B652" s="171" t="s">
        <v>121</v>
      </c>
      <c r="C652">
        <v>80</v>
      </c>
      <c r="D652">
        <v>1</v>
      </c>
    </row>
    <row r="653" spans="1:4" hidden="1" x14ac:dyDescent="0.3">
      <c r="A653">
        <v>2000</v>
      </c>
      <c r="B653" s="171" t="s">
        <v>121</v>
      </c>
      <c r="C653">
        <v>85</v>
      </c>
      <c r="D653">
        <v>1</v>
      </c>
    </row>
    <row r="654" spans="1:4" hidden="1" x14ac:dyDescent="0.3">
      <c r="A654">
        <v>2001</v>
      </c>
      <c r="B654" s="171" t="s">
        <v>121</v>
      </c>
      <c r="C654">
        <v>0</v>
      </c>
      <c r="D654">
        <v>0</v>
      </c>
    </row>
    <row r="655" spans="1:4" hidden="1" x14ac:dyDescent="0.3">
      <c r="A655">
        <v>2001</v>
      </c>
      <c r="B655" s="171" t="s">
        <v>121</v>
      </c>
      <c r="C655">
        <v>1</v>
      </c>
      <c r="D655">
        <v>0</v>
      </c>
    </row>
    <row r="656" spans="1:4" hidden="1" x14ac:dyDescent="0.3">
      <c r="A656">
        <v>2001</v>
      </c>
      <c r="B656" s="171" t="s">
        <v>121</v>
      </c>
      <c r="C656">
        <v>5</v>
      </c>
      <c r="D656">
        <v>2.1428571428571401</v>
      </c>
    </row>
    <row r="657" spans="1:4" hidden="1" x14ac:dyDescent="0.3">
      <c r="A657">
        <v>2001</v>
      </c>
      <c r="B657" s="171" t="s">
        <v>121</v>
      </c>
      <c r="C657">
        <v>10</v>
      </c>
      <c r="D657">
        <v>2.1428571428571401</v>
      </c>
    </row>
    <row r="658" spans="1:4" hidden="1" x14ac:dyDescent="0.3">
      <c r="A658">
        <v>2001</v>
      </c>
      <c r="B658" s="171" t="s">
        <v>121</v>
      </c>
      <c r="C658">
        <v>15</v>
      </c>
      <c r="D658">
        <v>2.1428571428571401</v>
      </c>
    </row>
    <row r="659" spans="1:4" hidden="1" x14ac:dyDescent="0.3">
      <c r="A659">
        <v>2001</v>
      </c>
      <c r="B659" s="171" t="s">
        <v>121</v>
      </c>
      <c r="C659">
        <v>20</v>
      </c>
      <c r="D659">
        <v>3.21428571428571</v>
      </c>
    </row>
    <row r="660" spans="1:4" hidden="1" x14ac:dyDescent="0.3">
      <c r="A660">
        <v>2001</v>
      </c>
      <c r="B660" s="171" t="s">
        <v>121</v>
      </c>
      <c r="C660">
        <v>25</v>
      </c>
      <c r="D660">
        <v>3.21428571428571</v>
      </c>
    </row>
    <row r="661" spans="1:4" hidden="1" x14ac:dyDescent="0.3">
      <c r="A661">
        <v>2001</v>
      </c>
      <c r="B661" s="171" t="s">
        <v>121</v>
      </c>
      <c r="C661">
        <v>30</v>
      </c>
      <c r="D661">
        <v>4.28571428571429</v>
      </c>
    </row>
    <row r="662" spans="1:4" hidden="1" x14ac:dyDescent="0.3">
      <c r="A662">
        <v>2001</v>
      </c>
      <c r="B662" s="171" t="s">
        <v>121</v>
      </c>
      <c r="C662">
        <v>35</v>
      </c>
      <c r="D662">
        <v>2.1428571428571401</v>
      </c>
    </row>
    <row r="663" spans="1:4" hidden="1" x14ac:dyDescent="0.3">
      <c r="A663">
        <v>2001</v>
      </c>
      <c r="B663" s="171" t="s">
        <v>121</v>
      </c>
      <c r="C663">
        <v>40</v>
      </c>
      <c r="D663">
        <v>2.1428571428571401</v>
      </c>
    </row>
    <row r="664" spans="1:4" hidden="1" x14ac:dyDescent="0.3">
      <c r="A664">
        <v>2001</v>
      </c>
      <c r="B664" s="171" t="s">
        <v>121</v>
      </c>
      <c r="C664">
        <v>45</v>
      </c>
      <c r="D664">
        <v>1.0714285714285701</v>
      </c>
    </row>
    <row r="665" spans="1:4" hidden="1" x14ac:dyDescent="0.3">
      <c r="A665">
        <v>2001</v>
      </c>
      <c r="B665" s="171" t="s">
        <v>121</v>
      </c>
      <c r="C665">
        <v>50</v>
      </c>
      <c r="D665">
        <v>1.0714285714285701</v>
      </c>
    </row>
    <row r="666" spans="1:4" hidden="1" x14ac:dyDescent="0.3">
      <c r="A666">
        <v>2001</v>
      </c>
      <c r="B666" s="171" t="s">
        <v>121</v>
      </c>
      <c r="C666">
        <v>55</v>
      </c>
      <c r="D666">
        <v>0</v>
      </c>
    </row>
    <row r="667" spans="1:4" hidden="1" x14ac:dyDescent="0.3">
      <c r="A667">
        <v>2001</v>
      </c>
      <c r="B667" s="171" t="s">
        <v>121</v>
      </c>
      <c r="C667">
        <v>60</v>
      </c>
      <c r="D667">
        <v>0</v>
      </c>
    </row>
    <row r="668" spans="1:4" hidden="1" x14ac:dyDescent="0.3">
      <c r="A668">
        <v>2001</v>
      </c>
      <c r="B668" s="171" t="s">
        <v>121</v>
      </c>
      <c r="C668">
        <v>65</v>
      </c>
      <c r="D668">
        <v>2.1428571428571401</v>
      </c>
    </row>
    <row r="669" spans="1:4" hidden="1" x14ac:dyDescent="0.3">
      <c r="A669">
        <v>2001</v>
      </c>
      <c r="B669" s="171" t="s">
        <v>121</v>
      </c>
      <c r="C669">
        <v>70</v>
      </c>
      <c r="D669">
        <v>0</v>
      </c>
    </row>
    <row r="670" spans="1:4" hidden="1" x14ac:dyDescent="0.3">
      <c r="A670">
        <v>2001</v>
      </c>
      <c r="B670" s="171" t="s">
        <v>121</v>
      </c>
      <c r="C670">
        <v>75</v>
      </c>
      <c r="D670">
        <v>2.1428571428571401</v>
      </c>
    </row>
    <row r="671" spans="1:4" hidden="1" x14ac:dyDescent="0.3">
      <c r="A671">
        <v>2001</v>
      </c>
      <c r="B671" s="171" t="s">
        <v>121</v>
      </c>
      <c r="C671">
        <v>80</v>
      </c>
      <c r="D671">
        <v>1.0714285714285701</v>
      </c>
    </row>
    <row r="672" spans="1:4" hidden="1" x14ac:dyDescent="0.3">
      <c r="A672">
        <v>2001</v>
      </c>
      <c r="B672" s="171" t="s">
        <v>121</v>
      </c>
      <c r="C672">
        <v>85</v>
      </c>
      <c r="D672">
        <v>1.0714285714285701</v>
      </c>
    </row>
    <row r="673" spans="1:4" hidden="1" x14ac:dyDescent="0.3">
      <c r="A673">
        <v>2003</v>
      </c>
      <c r="B673" s="171" t="s">
        <v>121</v>
      </c>
      <c r="C673">
        <v>0</v>
      </c>
      <c r="D673">
        <v>1</v>
      </c>
    </row>
    <row r="674" spans="1:4" hidden="1" x14ac:dyDescent="0.3">
      <c r="A674">
        <v>2003</v>
      </c>
      <c r="B674" s="171" t="s">
        <v>121</v>
      </c>
      <c r="C674">
        <v>1</v>
      </c>
      <c r="D674">
        <v>2</v>
      </c>
    </row>
    <row r="675" spans="1:4" hidden="1" x14ac:dyDescent="0.3">
      <c r="A675">
        <v>2003</v>
      </c>
      <c r="B675" s="171" t="s">
        <v>121</v>
      </c>
      <c r="C675">
        <v>5</v>
      </c>
      <c r="D675">
        <v>1</v>
      </c>
    </row>
    <row r="676" spans="1:4" hidden="1" x14ac:dyDescent="0.3">
      <c r="A676">
        <v>2003</v>
      </c>
      <c r="B676" s="171" t="s">
        <v>121</v>
      </c>
      <c r="C676">
        <v>10</v>
      </c>
      <c r="D676">
        <v>0</v>
      </c>
    </row>
    <row r="677" spans="1:4" hidden="1" x14ac:dyDescent="0.3">
      <c r="A677">
        <v>2003</v>
      </c>
      <c r="B677" s="171" t="s">
        <v>121</v>
      </c>
      <c r="C677">
        <v>15</v>
      </c>
      <c r="D677">
        <v>2</v>
      </c>
    </row>
    <row r="678" spans="1:4" hidden="1" x14ac:dyDescent="0.3">
      <c r="A678">
        <v>2003</v>
      </c>
      <c r="B678" s="171" t="s">
        <v>121</v>
      </c>
      <c r="C678">
        <v>20</v>
      </c>
      <c r="D678">
        <v>1</v>
      </c>
    </row>
    <row r="679" spans="1:4" hidden="1" x14ac:dyDescent="0.3">
      <c r="A679">
        <v>2003</v>
      </c>
      <c r="B679" s="171" t="s">
        <v>121</v>
      </c>
      <c r="C679">
        <v>25</v>
      </c>
      <c r="D679">
        <v>1</v>
      </c>
    </row>
    <row r="680" spans="1:4" hidden="1" x14ac:dyDescent="0.3">
      <c r="A680">
        <v>2003</v>
      </c>
      <c r="B680" s="171" t="s">
        <v>121</v>
      </c>
      <c r="C680">
        <v>30</v>
      </c>
      <c r="D680">
        <v>2</v>
      </c>
    </row>
    <row r="681" spans="1:4" hidden="1" x14ac:dyDescent="0.3">
      <c r="A681">
        <v>2003</v>
      </c>
      <c r="B681" s="171" t="s">
        <v>121</v>
      </c>
      <c r="C681">
        <v>35</v>
      </c>
      <c r="D681">
        <v>1</v>
      </c>
    </row>
    <row r="682" spans="1:4" hidden="1" x14ac:dyDescent="0.3">
      <c r="A682">
        <v>2003</v>
      </c>
      <c r="B682" s="171" t="s">
        <v>121</v>
      </c>
      <c r="C682">
        <v>40</v>
      </c>
      <c r="D682">
        <v>2</v>
      </c>
    </row>
    <row r="683" spans="1:4" hidden="1" x14ac:dyDescent="0.3">
      <c r="A683">
        <v>2003</v>
      </c>
      <c r="B683" s="171" t="s">
        <v>121</v>
      </c>
      <c r="C683">
        <v>45</v>
      </c>
      <c r="D683">
        <v>1</v>
      </c>
    </row>
    <row r="684" spans="1:4" hidden="1" x14ac:dyDescent="0.3">
      <c r="A684">
        <v>2003</v>
      </c>
      <c r="B684" s="171" t="s">
        <v>121</v>
      </c>
      <c r="C684">
        <v>50</v>
      </c>
      <c r="D684">
        <v>0</v>
      </c>
    </row>
    <row r="685" spans="1:4" hidden="1" x14ac:dyDescent="0.3">
      <c r="A685">
        <v>2003</v>
      </c>
      <c r="B685" s="171" t="s">
        <v>121</v>
      </c>
      <c r="C685">
        <v>55</v>
      </c>
      <c r="D685">
        <v>0</v>
      </c>
    </row>
    <row r="686" spans="1:4" hidden="1" x14ac:dyDescent="0.3">
      <c r="A686">
        <v>2003</v>
      </c>
      <c r="B686" s="171" t="s">
        <v>121</v>
      </c>
      <c r="C686">
        <v>60</v>
      </c>
      <c r="D686">
        <v>0</v>
      </c>
    </row>
    <row r="687" spans="1:4" hidden="1" x14ac:dyDescent="0.3">
      <c r="A687">
        <v>2003</v>
      </c>
      <c r="B687" s="171" t="s">
        <v>121</v>
      </c>
      <c r="C687">
        <v>65</v>
      </c>
      <c r="D687">
        <v>0</v>
      </c>
    </row>
    <row r="688" spans="1:4" hidden="1" x14ac:dyDescent="0.3">
      <c r="A688">
        <v>2003</v>
      </c>
      <c r="B688" s="171" t="s">
        <v>121</v>
      </c>
      <c r="C688">
        <v>70</v>
      </c>
      <c r="D688">
        <v>0</v>
      </c>
    </row>
    <row r="689" spans="1:4" hidden="1" x14ac:dyDescent="0.3">
      <c r="A689">
        <v>2003</v>
      </c>
      <c r="B689" s="171" t="s">
        <v>121</v>
      </c>
      <c r="C689">
        <v>75</v>
      </c>
      <c r="D689">
        <v>0</v>
      </c>
    </row>
    <row r="690" spans="1:4" hidden="1" x14ac:dyDescent="0.3">
      <c r="A690">
        <v>2003</v>
      </c>
      <c r="B690" s="171" t="s">
        <v>121</v>
      </c>
      <c r="C690">
        <v>80</v>
      </c>
      <c r="D690">
        <v>1</v>
      </c>
    </row>
    <row r="691" spans="1:4" hidden="1" x14ac:dyDescent="0.3">
      <c r="A691">
        <v>2003</v>
      </c>
      <c r="B691" s="171" t="s">
        <v>121</v>
      </c>
      <c r="C691">
        <v>85</v>
      </c>
      <c r="D691">
        <v>1</v>
      </c>
    </row>
    <row r="692" spans="1:4" hidden="1" x14ac:dyDescent="0.3">
      <c r="A692">
        <v>2004</v>
      </c>
      <c r="B692" s="171" t="s">
        <v>121</v>
      </c>
      <c r="C692">
        <v>1</v>
      </c>
      <c r="D692">
        <v>0</v>
      </c>
    </row>
    <row r="693" spans="1:4" hidden="1" x14ac:dyDescent="0.3">
      <c r="A693">
        <v>2004</v>
      </c>
      <c r="B693" s="171" t="s">
        <v>121</v>
      </c>
      <c r="C693">
        <v>15</v>
      </c>
      <c r="D693">
        <v>0</v>
      </c>
    </row>
    <row r="694" spans="1:4" hidden="1" x14ac:dyDescent="0.3">
      <c r="A694">
        <v>2004</v>
      </c>
      <c r="B694" s="171" t="s">
        <v>121</v>
      </c>
      <c r="C694">
        <v>20</v>
      </c>
      <c r="D694">
        <v>1</v>
      </c>
    </row>
    <row r="695" spans="1:4" hidden="1" x14ac:dyDescent="0.3">
      <c r="A695">
        <v>2004</v>
      </c>
      <c r="B695" s="171" t="s">
        <v>121</v>
      </c>
      <c r="C695">
        <v>25</v>
      </c>
      <c r="D695">
        <v>2</v>
      </c>
    </row>
    <row r="696" spans="1:4" hidden="1" x14ac:dyDescent="0.3">
      <c r="A696">
        <v>2004</v>
      </c>
      <c r="B696" s="171" t="s">
        <v>121</v>
      </c>
      <c r="C696">
        <v>30</v>
      </c>
      <c r="D696">
        <v>3</v>
      </c>
    </row>
    <row r="697" spans="1:4" hidden="1" x14ac:dyDescent="0.3">
      <c r="A697">
        <v>2004</v>
      </c>
      <c r="B697" s="171" t="s">
        <v>121</v>
      </c>
      <c r="C697">
        <v>35</v>
      </c>
      <c r="D697">
        <v>0</v>
      </c>
    </row>
    <row r="698" spans="1:4" hidden="1" x14ac:dyDescent="0.3">
      <c r="A698">
        <v>2004</v>
      </c>
      <c r="B698" s="171" t="s">
        <v>121</v>
      </c>
      <c r="C698">
        <v>40</v>
      </c>
      <c r="D698">
        <v>0</v>
      </c>
    </row>
    <row r="699" spans="1:4" hidden="1" x14ac:dyDescent="0.3">
      <c r="A699">
        <v>2004</v>
      </c>
      <c r="B699" s="171" t="s">
        <v>121</v>
      </c>
      <c r="C699">
        <v>45</v>
      </c>
      <c r="D699">
        <v>0</v>
      </c>
    </row>
    <row r="700" spans="1:4" hidden="1" x14ac:dyDescent="0.3">
      <c r="A700">
        <v>2004</v>
      </c>
      <c r="B700" s="171" t="s">
        <v>121</v>
      </c>
      <c r="C700">
        <v>50</v>
      </c>
      <c r="D700">
        <v>2</v>
      </c>
    </row>
    <row r="701" spans="1:4" hidden="1" x14ac:dyDescent="0.3">
      <c r="A701">
        <v>2004</v>
      </c>
      <c r="B701" s="171" t="s">
        <v>121</v>
      </c>
      <c r="C701">
        <v>55</v>
      </c>
      <c r="D701">
        <v>0</v>
      </c>
    </row>
    <row r="702" spans="1:4" hidden="1" x14ac:dyDescent="0.3">
      <c r="A702">
        <v>2004</v>
      </c>
      <c r="B702" s="171" t="s">
        <v>121</v>
      </c>
      <c r="C702">
        <v>60</v>
      </c>
      <c r="D702">
        <v>0</v>
      </c>
    </row>
    <row r="703" spans="1:4" hidden="1" x14ac:dyDescent="0.3">
      <c r="A703">
        <v>2004</v>
      </c>
      <c r="B703" s="171" t="s">
        <v>121</v>
      </c>
      <c r="C703">
        <v>65</v>
      </c>
      <c r="D703">
        <v>1</v>
      </c>
    </row>
    <row r="704" spans="1:4" hidden="1" x14ac:dyDescent="0.3">
      <c r="A704">
        <v>2004</v>
      </c>
      <c r="B704" s="171" t="s">
        <v>121</v>
      </c>
      <c r="C704">
        <v>70</v>
      </c>
      <c r="D704">
        <v>0</v>
      </c>
    </row>
    <row r="705" spans="1:4" hidden="1" x14ac:dyDescent="0.3">
      <c r="A705">
        <v>2004</v>
      </c>
      <c r="B705" s="171" t="s">
        <v>121</v>
      </c>
      <c r="C705">
        <v>75</v>
      </c>
      <c r="D705">
        <v>1</v>
      </c>
    </row>
    <row r="706" spans="1:4" hidden="1" x14ac:dyDescent="0.3">
      <c r="A706">
        <v>2004</v>
      </c>
      <c r="B706" s="171" t="s">
        <v>121</v>
      </c>
      <c r="C706">
        <v>80</v>
      </c>
      <c r="D706">
        <v>0</v>
      </c>
    </row>
    <row r="707" spans="1:4" hidden="1" x14ac:dyDescent="0.3">
      <c r="A707">
        <v>2004</v>
      </c>
      <c r="B707" s="171" t="s">
        <v>121</v>
      </c>
      <c r="C707">
        <v>85</v>
      </c>
      <c r="D707">
        <v>0</v>
      </c>
    </row>
    <row r="708" spans="1:4" hidden="1" x14ac:dyDescent="0.3">
      <c r="A708">
        <v>2007</v>
      </c>
      <c r="B708" s="171" t="s">
        <v>121</v>
      </c>
      <c r="C708">
        <v>1</v>
      </c>
      <c r="D708">
        <v>0</v>
      </c>
    </row>
    <row r="709" spans="1:4" hidden="1" x14ac:dyDescent="0.3">
      <c r="A709">
        <v>2007</v>
      </c>
      <c r="B709" s="171" t="s">
        <v>121</v>
      </c>
      <c r="C709">
        <v>5</v>
      </c>
      <c r="D709">
        <v>1.0434782608695701</v>
      </c>
    </row>
    <row r="710" spans="1:4" hidden="1" x14ac:dyDescent="0.3">
      <c r="A710">
        <v>2007</v>
      </c>
      <c r="B710" s="171" t="s">
        <v>121</v>
      </c>
      <c r="C710">
        <v>10</v>
      </c>
      <c r="D710">
        <v>2.0869565217391299</v>
      </c>
    </row>
    <row r="711" spans="1:4" hidden="1" x14ac:dyDescent="0.3">
      <c r="A711">
        <v>2007</v>
      </c>
      <c r="B711" s="171" t="s">
        <v>121</v>
      </c>
      <c r="C711">
        <v>15</v>
      </c>
      <c r="D711">
        <v>2.0869565217391299</v>
      </c>
    </row>
    <row r="712" spans="1:4" hidden="1" x14ac:dyDescent="0.3">
      <c r="A712">
        <v>2007</v>
      </c>
      <c r="B712" s="171" t="s">
        <v>121</v>
      </c>
      <c r="C712">
        <v>20</v>
      </c>
      <c r="D712">
        <v>2.0869565217391299</v>
      </c>
    </row>
    <row r="713" spans="1:4" hidden="1" x14ac:dyDescent="0.3">
      <c r="A713">
        <v>2007</v>
      </c>
      <c r="B713" s="171" t="s">
        <v>121</v>
      </c>
      <c r="C713">
        <v>25</v>
      </c>
      <c r="D713">
        <v>5.2173913043478297</v>
      </c>
    </row>
    <row r="714" spans="1:4" hidden="1" x14ac:dyDescent="0.3">
      <c r="A714">
        <v>2007</v>
      </c>
      <c r="B714" s="171" t="s">
        <v>121</v>
      </c>
      <c r="C714">
        <v>30</v>
      </c>
      <c r="D714">
        <v>2.0869565217391299</v>
      </c>
    </row>
    <row r="715" spans="1:4" hidden="1" x14ac:dyDescent="0.3">
      <c r="A715">
        <v>2007</v>
      </c>
      <c r="B715" s="171" t="s">
        <v>121</v>
      </c>
      <c r="C715">
        <v>35</v>
      </c>
      <c r="D715">
        <v>2.0869565217391299</v>
      </c>
    </row>
    <row r="716" spans="1:4" hidden="1" x14ac:dyDescent="0.3">
      <c r="A716">
        <v>2007</v>
      </c>
      <c r="B716" s="171" t="s">
        <v>121</v>
      </c>
      <c r="C716">
        <v>40</v>
      </c>
      <c r="D716">
        <v>0</v>
      </c>
    </row>
    <row r="717" spans="1:4" hidden="1" x14ac:dyDescent="0.3">
      <c r="A717">
        <v>2007</v>
      </c>
      <c r="B717" s="171" t="s">
        <v>121</v>
      </c>
      <c r="C717">
        <v>45</v>
      </c>
      <c r="D717">
        <v>1.0434782608695701</v>
      </c>
    </row>
    <row r="718" spans="1:4" hidden="1" x14ac:dyDescent="0.3">
      <c r="A718">
        <v>2007</v>
      </c>
      <c r="B718" s="171" t="s">
        <v>121</v>
      </c>
      <c r="C718">
        <v>50</v>
      </c>
      <c r="D718">
        <v>0</v>
      </c>
    </row>
    <row r="719" spans="1:4" hidden="1" x14ac:dyDescent="0.3">
      <c r="A719">
        <v>2007</v>
      </c>
      <c r="B719" s="171" t="s">
        <v>121</v>
      </c>
      <c r="C719">
        <v>55</v>
      </c>
      <c r="D719">
        <v>1.0434782608695701</v>
      </c>
    </row>
    <row r="720" spans="1:4" hidden="1" x14ac:dyDescent="0.3">
      <c r="A720">
        <v>2007</v>
      </c>
      <c r="B720" s="171" t="s">
        <v>121</v>
      </c>
      <c r="C720">
        <v>60</v>
      </c>
      <c r="D720">
        <v>2.0869565217391299</v>
      </c>
    </row>
    <row r="721" spans="1:4" hidden="1" x14ac:dyDescent="0.3">
      <c r="A721">
        <v>2007</v>
      </c>
      <c r="B721" s="171" t="s">
        <v>121</v>
      </c>
      <c r="C721">
        <v>65</v>
      </c>
      <c r="D721">
        <v>1.0434782608695701</v>
      </c>
    </row>
    <row r="722" spans="1:4" hidden="1" x14ac:dyDescent="0.3">
      <c r="A722">
        <v>2007</v>
      </c>
      <c r="B722" s="171" t="s">
        <v>121</v>
      </c>
      <c r="C722">
        <v>70</v>
      </c>
      <c r="D722">
        <v>2.0869565217391299</v>
      </c>
    </row>
    <row r="723" spans="1:4" hidden="1" x14ac:dyDescent="0.3">
      <c r="A723">
        <v>2007</v>
      </c>
      <c r="B723" s="171" t="s">
        <v>121</v>
      </c>
      <c r="C723">
        <v>75</v>
      </c>
      <c r="D723">
        <v>0</v>
      </c>
    </row>
    <row r="724" spans="1:4" hidden="1" x14ac:dyDescent="0.3">
      <c r="A724">
        <v>2008</v>
      </c>
      <c r="B724" s="171" t="s">
        <v>121</v>
      </c>
      <c r="C724">
        <v>0</v>
      </c>
      <c r="D724">
        <v>1</v>
      </c>
    </row>
    <row r="725" spans="1:4" hidden="1" x14ac:dyDescent="0.3">
      <c r="A725">
        <v>2008</v>
      </c>
      <c r="B725" s="171" t="s">
        <v>121</v>
      </c>
      <c r="C725">
        <v>1</v>
      </c>
      <c r="D725">
        <v>3</v>
      </c>
    </row>
    <row r="726" spans="1:4" hidden="1" x14ac:dyDescent="0.3">
      <c r="A726">
        <v>2008</v>
      </c>
      <c r="B726" s="171" t="s">
        <v>121</v>
      </c>
      <c r="C726">
        <v>10</v>
      </c>
      <c r="D726">
        <v>0</v>
      </c>
    </row>
    <row r="727" spans="1:4" hidden="1" x14ac:dyDescent="0.3">
      <c r="A727">
        <v>2008</v>
      </c>
      <c r="B727" s="171" t="s">
        <v>121</v>
      </c>
      <c r="C727">
        <v>15</v>
      </c>
      <c r="D727">
        <v>4</v>
      </c>
    </row>
    <row r="728" spans="1:4" hidden="1" x14ac:dyDescent="0.3">
      <c r="A728">
        <v>2008</v>
      </c>
      <c r="B728" s="171" t="s">
        <v>121</v>
      </c>
      <c r="C728">
        <v>20</v>
      </c>
      <c r="D728">
        <v>4</v>
      </c>
    </row>
    <row r="729" spans="1:4" hidden="1" x14ac:dyDescent="0.3">
      <c r="A729">
        <v>2008</v>
      </c>
      <c r="B729" s="171" t="s">
        <v>121</v>
      </c>
      <c r="C729">
        <v>25</v>
      </c>
      <c r="D729">
        <v>3</v>
      </c>
    </row>
    <row r="730" spans="1:4" hidden="1" x14ac:dyDescent="0.3">
      <c r="A730">
        <v>2008</v>
      </c>
      <c r="B730" s="171" t="s">
        <v>121</v>
      </c>
      <c r="C730">
        <v>30</v>
      </c>
      <c r="D730">
        <v>5</v>
      </c>
    </row>
    <row r="731" spans="1:4" hidden="1" x14ac:dyDescent="0.3">
      <c r="A731">
        <v>2008</v>
      </c>
      <c r="B731" s="171" t="s">
        <v>121</v>
      </c>
      <c r="C731">
        <v>35</v>
      </c>
      <c r="D731">
        <v>1</v>
      </c>
    </row>
    <row r="732" spans="1:4" hidden="1" x14ac:dyDescent="0.3">
      <c r="A732">
        <v>2008</v>
      </c>
      <c r="B732" s="171" t="s">
        <v>121</v>
      </c>
      <c r="C732">
        <v>40</v>
      </c>
      <c r="D732">
        <v>0</v>
      </c>
    </row>
    <row r="733" spans="1:4" hidden="1" x14ac:dyDescent="0.3">
      <c r="A733">
        <v>2008</v>
      </c>
      <c r="B733" s="171" t="s">
        <v>121</v>
      </c>
      <c r="C733">
        <v>45</v>
      </c>
      <c r="D733">
        <v>1</v>
      </c>
    </row>
    <row r="734" spans="1:4" hidden="1" x14ac:dyDescent="0.3">
      <c r="A734">
        <v>2008</v>
      </c>
      <c r="B734" s="171" t="s">
        <v>121</v>
      </c>
      <c r="C734">
        <v>50</v>
      </c>
      <c r="D734">
        <v>0</v>
      </c>
    </row>
    <row r="735" spans="1:4" hidden="1" x14ac:dyDescent="0.3">
      <c r="A735">
        <v>2008</v>
      </c>
      <c r="B735" s="171" t="s">
        <v>121</v>
      </c>
      <c r="C735">
        <v>55</v>
      </c>
      <c r="D735">
        <v>0</v>
      </c>
    </row>
    <row r="736" spans="1:4" hidden="1" x14ac:dyDescent="0.3">
      <c r="A736">
        <v>2008</v>
      </c>
      <c r="B736" s="171" t="s">
        <v>121</v>
      </c>
      <c r="C736">
        <v>60</v>
      </c>
      <c r="D736">
        <v>0</v>
      </c>
    </row>
    <row r="737" spans="1:4" hidden="1" x14ac:dyDescent="0.3">
      <c r="A737">
        <v>2008</v>
      </c>
      <c r="B737" s="171" t="s">
        <v>121</v>
      </c>
      <c r="C737">
        <v>65</v>
      </c>
      <c r="D737">
        <v>1</v>
      </c>
    </row>
    <row r="738" spans="1:4" hidden="1" x14ac:dyDescent="0.3">
      <c r="A738">
        <v>2008</v>
      </c>
      <c r="B738" s="171" t="s">
        <v>121</v>
      </c>
      <c r="C738">
        <v>70</v>
      </c>
      <c r="D738">
        <v>1</v>
      </c>
    </row>
    <row r="739" spans="1:4" hidden="1" x14ac:dyDescent="0.3">
      <c r="A739">
        <v>2008</v>
      </c>
      <c r="B739" s="171" t="s">
        <v>121</v>
      </c>
      <c r="C739">
        <v>75</v>
      </c>
      <c r="D739">
        <v>0</v>
      </c>
    </row>
    <row r="740" spans="1:4" hidden="1" x14ac:dyDescent="0.3">
      <c r="A740">
        <v>2008</v>
      </c>
      <c r="B740" s="171" t="s">
        <v>121</v>
      </c>
      <c r="C740">
        <v>80</v>
      </c>
      <c r="D740">
        <v>2</v>
      </c>
    </row>
    <row r="741" spans="1:4" hidden="1" x14ac:dyDescent="0.3">
      <c r="A741">
        <v>2009</v>
      </c>
      <c r="B741" s="171" t="s">
        <v>121</v>
      </c>
      <c r="C741">
        <v>0</v>
      </c>
      <c r="D741">
        <v>3.25</v>
      </c>
    </row>
    <row r="742" spans="1:4" hidden="1" x14ac:dyDescent="0.3">
      <c r="A742">
        <v>2009</v>
      </c>
      <c r="B742" s="171" t="s">
        <v>121</v>
      </c>
      <c r="C742">
        <v>1</v>
      </c>
      <c r="D742">
        <v>1</v>
      </c>
    </row>
    <row r="743" spans="1:4" hidden="1" x14ac:dyDescent="0.3">
      <c r="A743">
        <v>2009</v>
      </c>
      <c r="B743" s="171" t="s">
        <v>121</v>
      </c>
      <c r="C743">
        <v>5</v>
      </c>
      <c r="D743">
        <v>0</v>
      </c>
    </row>
    <row r="744" spans="1:4" hidden="1" x14ac:dyDescent="0.3">
      <c r="A744">
        <v>2009</v>
      </c>
      <c r="B744" s="171" t="s">
        <v>121</v>
      </c>
      <c r="C744">
        <v>10</v>
      </c>
      <c r="D744">
        <v>3</v>
      </c>
    </row>
    <row r="745" spans="1:4" hidden="1" x14ac:dyDescent="0.3">
      <c r="A745">
        <v>2009</v>
      </c>
      <c r="B745" s="171" t="s">
        <v>121</v>
      </c>
      <c r="C745">
        <v>15</v>
      </c>
      <c r="D745">
        <v>2</v>
      </c>
    </row>
    <row r="746" spans="1:4" hidden="1" x14ac:dyDescent="0.3">
      <c r="A746">
        <v>2009</v>
      </c>
      <c r="B746" s="171" t="s">
        <v>121</v>
      </c>
      <c r="C746">
        <v>20</v>
      </c>
      <c r="D746">
        <v>5</v>
      </c>
    </row>
    <row r="747" spans="1:4" hidden="1" x14ac:dyDescent="0.3">
      <c r="A747">
        <v>2009</v>
      </c>
      <c r="B747" s="171" t="s">
        <v>121</v>
      </c>
      <c r="C747">
        <v>25</v>
      </c>
      <c r="D747">
        <v>1</v>
      </c>
    </row>
    <row r="748" spans="1:4" hidden="1" x14ac:dyDescent="0.3">
      <c r="A748">
        <v>2009</v>
      </c>
      <c r="B748" s="171" t="s">
        <v>121</v>
      </c>
      <c r="C748">
        <v>30</v>
      </c>
      <c r="D748">
        <v>1</v>
      </c>
    </row>
    <row r="749" spans="1:4" hidden="1" x14ac:dyDescent="0.3">
      <c r="A749">
        <v>2009</v>
      </c>
      <c r="B749" s="171" t="s">
        <v>121</v>
      </c>
      <c r="C749">
        <v>35</v>
      </c>
      <c r="D749">
        <v>2</v>
      </c>
    </row>
    <row r="750" spans="1:4" hidden="1" x14ac:dyDescent="0.3">
      <c r="A750">
        <v>2009</v>
      </c>
      <c r="B750" s="171" t="s">
        <v>121</v>
      </c>
      <c r="C750">
        <v>40</v>
      </c>
      <c r="D750">
        <v>2</v>
      </c>
    </row>
    <row r="751" spans="1:4" hidden="1" x14ac:dyDescent="0.3">
      <c r="A751">
        <v>2009</v>
      </c>
      <c r="B751" s="171" t="s">
        <v>121</v>
      </c>
      <c r="C751">
        <v>45</v>
      </c>
      <c r="D751">
        <v>0</v>
      </c>
    </row>
    <row r="752" spans="1:4" hidden="1" x14ac:dyDescent="0.3">
      <c r="A752">
        <v>2009</v>
      </c>
      <c r="B752" s="171" t="s">
        <v>121</v>
      </c>
      <c r="C752">
        <v>50</v>
      </c>
      <c r="D752">
        <v>5</v>
      </c>
    </row>
    <row r="753" spans="1:4" hidden="1" x14ac:dyDescent="0.3">
      <c r="A753">
        <v>2009</v>
      </c>
      <c r="B753" s="171" t="s">
        <v>121</v>
      </c>
      <c r="C753">
        <v>55</v>
      </c>
      <c r="D753">
        <v>0</v>
      </c>
    </row>
    <row r="754" spans="1:4" hidden="1" x14ac:dyDescent="0.3">
      <c r="A754">
        <v>2009</v>
      </c>
      <c r="B754" s="171" t="s">
        <v>121</v>
      </c>
      <c r="C754">
        <v>60</v>
      </c>
      <c r="D754">
        <v>1</v>
      </c>
    </row>
    <row r="755" spans="1:4" hidden="1" x14ac:dyDescent="0.3">
      <c r="A755">
        <v>2009</v>
      </c>
      <c r="B755" s="171" t="s">
        <v>121</v>
      </c>
      <c r="C755">
        <v>65</v>
      </c>
      <c r="D755">
        <v>1</v>
      </c>
    </row>
    <row r="756" spans="1:4" hidden="1" x14ac:dyDescent="0.3">
      <c r="A756">
        <v>2009</v>
      </c>
      <c r="B756" s="171" t="s">
        <v>121</v>
      </c>
      <c r="C756">
        <v>70</v>
      </c>
      <c r="D756">
        <v>0</v>
      </c>
    </row>
    <row r="757" spans="1:4" hidden="1" x14ac:dyDescent="0.3">
      <c r="A757">
        <v>2009</v>
      </c>
      <c r="B757" s="171" t="s">
        <v>121</v>
      </c>
      <c r="C757">
        <v>75</v>
      </c>
      <c r="D757">
        <v>1</v>
      </c>
    </row>
    <row r="758" spans="1:4" hidden="1" x14ac:dyDescent="0.3">
      <c r="A758">
        <v>2009</v>
      </c>
      <c r="B758" s="171" t="s">
        <v>121</v>
      </c>
      <c r="C758">
        <v>85</v>
      </c>
      <c r="D758">
        <v>1</v>
      </c>
    </row>
    <row r="759" spans="1:4" hidden="1" x14ac:dyDescent="0.3">
      <c r="A759">
        <v>2010</v>
      </c>
      <c r="B759" s="171" t="s">
        <v>121</v>
      </c>
      <c r="C759">
        <v>0</v>
      </c>
      <c r="D759">
        <v>1</v>
      </c>
    </row>
    <row r="760" spans="1:4" hidden="1" x14ac:dyDescent="0.3">
      <c r="A760">
        <v>2010</v>
      </c>
      <c r="B760" s="171" t="s">
        <v>121</v>
      </c>
      <c r="C760">
        <v>1</v>
      </c>
      <c r="D760">
        <v>2</v>
      </c>
    </row>
    <row r="761" spans="1:4" hidden="1" x14ac:dyDescent="0.3">
      <c r="A761">
        <v>2010</v>
      </c>
      <c r="B761" s="171" t="s">
        <v>121</v>
      </c>
      <c r="C761">
        <v>5</v>
      </c>
      <c r="D761">
        <v>1</v>
      </c>
    </row>
    <row r="762" spans="1:4" hidden="1" x14ac:dyDescent="0.3">
      <c r="A762">
        <v>2010</v>
      </c>
      <c r="B762" s="171" t="s">
        <v>121</v>
      </c>
      <c r="C762">
        <v>10</v>
      </c>
      <c r="D762">
        <v>1</v>
      </c>
    </row>
    <row r="763" spans="1:4" hidden="1" x14ac:dyDescent="0.3">
      <c r="A763">
        <v>2010</v>
      </c>
      <c r="B763" s="171" t="s">
        <v>121</v>
      </c>
      <c r="C763">
        <v>15</v>
      </c>
      <c r="D763">
        <v>7</v>
      </c>
    </row>
    <row r="764" spans="1:4" hidden="1" x14ac:dyDescent="0.3">
      <c r="A764">
        <v>2010</v>
      </c>
      <c r="B764" s="171" t="s">
        <v>121</v>
      </c>
      <c r="C764">
        <v>20</v>
      </c>
      <c r="D764">
        <v>5</v>
      </c>
    </row>
    <row r="765" spans="1:4" hidden="1" x14ac:dyDescent="0.3">
      <c r="A765">
        <v>2010</v>
      </c>
      <c r="B765" s="171" t="s">
        <v>121</v>
      </c>
      <c r="C765">
        <v>25</v>
      </c>
      <c r="D765">
        <v>1</v>
      </c>
    </row>
    <row r="766" spans="1:4" hidden="1" x14ac:dyDescent="0.3">
      <c r="A766">
        <v>2010</v>
      </c>
      <c r="B766" s="171" t="s">
        <v>121</v>
      </c>
      <c r="C766">
        <v>30</v>
      </c>
      <c r="D766">
        <v>2</v>
      </c>
    </row>
    <row r="767" spans="1:4" hidden="1" x14ac:dyDescent="0.3">
      <c r="A767">
        <v>2010</v>
      </c>
      <c r="B767" s="171" t="s">
        <v>121</v>
      </c>
      <c r="C767">
        <v>35</v>
      </c>
      <c r="D767">
        <v>3</v>
      </c>
    </row>
    <row r="768" spans="1:4" hidden="1" x14ac:dyDescent="0.3">
      <c r="A768">
        <v>2010</v>
      </c>
      <c r="B768" s="171" t="s">
        <v>121</v>
      </c>
      <c r="C768">
        <v>40</v>
      </c>
      <c r="D768">
        <v>1</v>
      </c>
    </row>
    <row r="769" spans="1:4" hidden="1" x14ac:dyDescent="0.3">
      <c r="A769">
        <v>2010</v>
      </c>
      <c r="B769" s="171" t="s">
        <v>121</v>
      </c>
      <c r="C769">
        <v>45</v>
      </c>
      <c r="D769">
        <v>5</v>
      </c>
    </row>
    <row r="770" spans="1:4" hidden="1" x14ac:dyDescent="0.3">
      <c r="A770">
        <v>2010</v>
      </c>
      <c r="B770" s="171" t="s">
        <v>121</v>
      </c>
      <c r="C770">
        <v>50</v>
      </c>
      <c r="D770">
        <v>2</v>
      </c>
    </row>
    <row r="771" spans="1:4" hidden="1" x14ac:dyDescent="0.3">
      <c r="A771">
        <v>2010</v>
      </c>
      <c r="B771" s="171" t="s">
        <v>121</v>
      </c>
      <c r="C771">
        <v>55</v>
      </c>
      <c r="D771">
        <v>1</v>
      </c>
    </row>
    <row r="772" spans="1:4" hidden="1" x14ac:dyDescent="0.3">
      <c r="A772">
        <v>2010</v>
      </c>
      <c r="B772" s="171" t="s">
        <v>121</v>
      </c>
      <c r="C772">
        <v>60</v>
      </c>
      <c r="D772">
        <v>1</v>
      </c>
    </row>
    <row r="773" spans="1:4" hidden="1" x14ac:dyDescent="0.3">
      <c r="A773">
        <v>2010</v>
      </c>
      <c r="B773" s="171" t="s">
        <v>121</v>
      </c>
      <c r="C773">
        <v>65</v>
      </c>
      <c r="D773">
        <v>0</v>
      </c>
    </row>
    <row r="774" spans="1:4" hidden="1" x14ac:dyDescent="0.3">
      <c r="A774">
        <v>2010</v>
      </c>
      <c r="B774" s="171" t="s">
        <v>121</v>
      </c>
      <c r="C774">
        <v>70</v>
      </c>
      <c r="D774">
        <v>1</v>
      </c>
    </row>
    <row r="775" spans="1:4" hidden="1" x14ac:dyDescent="0.3">
      <c r="A775">
        <v>2010</v>
      </c>
      <c r="B775" s="171" t="s">
        <v>121</v>
      </c>
      <c r="C775">
        <v>75</v>
      </c>
      <c r="D775">
        <v>0</v>
      </c>
    </row>
    <row r="776" spans="1:4" hidden="1" x14ac:dyDescent="0.3">
      <c r="A776">
        <v>2010</v>
      </c>
      <c r="B776" s="171" t="s">
        <v>121</v>
      </c>
      <c r="C776">
        <v>80</v>
      </c>
      <c r="D776">
        <v>1</v>
      </c>
    </row>
    <row r="777" spans="1:4" hidden="1" x14ac:dyDescent="0.3">
      <c r="A777">
        <v>2010</v>
      </c>
      <c r="B777" s="171" t="s">
        <v>121</v>
      </c>
      <c r="C777">
        <v>85</v>
      </c>
      <c r="D777">
        <v>2</v>
      </c>
    </row>
    <row r="778" spans="1:4" hidden="1" x14ac:dyDescent="0.3">
      <c r="A778">
        <v>2011</v>
      </c>
      <c r="B778" s="171" t="s">
        <v>121</v>
      </c>
      <c r="C778">
        <v>0</v>
      </c>
      <c r="D778">
        <v>3.1176470588235299</v>
      </c>
    </row>
    <row r="779" spans="1:4" hidden="1" x14ac:dyDescent="0.3">
      <c r="A779">
        <v>2011</v>
      </c>
      <c r="B779" s="171" t="s">
        <v>121</v>
      </c>
      <c r="C779">
        <v>1</v>
      </c>
      <c r="D779">
        <v>3.1176470588235299</v>
      </c>
    </row>
    <row r="780" spans="1:4" hidden="1" x14ac:dyDescent="0.3">
      <c r="A780">
        <v>2011</v>
      </c>
      <c r="B780" s="171" t="s">
        <v>121</v>
      </c>
      <c r="C780">
        <v>5</v>
      </c>
      <c r="D780">
        <v>0</v>
      </c>
    </row>
    <row r="781" spans="1:4" hidden="1" x14ac:dyDescent="0.3">
      <c r="A781">
        <v>2011</v>
      </c>
      <c r="B781" s="171" t="s">
        <v>121</v>
      </c>
      <c r="C781">
        <v>10</v>
      </c>
      <c r="D781">
        <v>1.0392156862745101</v>
      </c>
    </row>
    <row r="782" spans="1:4" hidden="1" x14ac:dyDescent="0.3">
      <c r="A782">
        <v>2011</v>
      </c>
      <c r="B782" s="171" t="s">
        <v>121</v>
      </c>
      <c r="C782">
        <v>15</v>
      </c>
      <c r="D782">
        <v>4.1568627450980404</v>
      </c>
    </row>
    <row r="783" spans="1:4" hidden="1" x14ac:dyDescent="0.3">
      <c r="A783">
        <v>2011</v>
      </c>
      <c r="B783" s="171" t="s">
        <v>121</v>
      </c>
      <c r="C783">
        <v>20</v>
      </c>
      <c r="D783">
        <v>13.509803921568601</v>
      </c>
    </row>
    <row r="784" spans="1:4" hidden="1" x14ac:dyDescent="0.3">
      <c r="A784">
        <v>2011</v>
      </c>
      <c r="B784" s="171" t="s">
        <v>121</v>
      </c>
      <c r="C784">
        <v>25</v>
      </c>
      <c r="D784">
        <v>6.2352941176470598</v>
      </c>
    </row>
    <row r="785" spans="1:4" hidden="1" x14ac:dyDescent="0.3">
      <c r="A785">
        <v>2011</v>
      </c>
      <c r="B785" s="171" t="s">
        <v>121</v>
      </c>
      <c r="C785">
        <v>30</v>
      </c>
      <c r="D785">
        <v>4.1568627450980404</v>
      </c>
    </row>
    <row r="786" spans="1:4" hidden="1" x14ac:dyDescent="0.3">
      <c r="A786">
        <v>2011</v>
      </c>
      <c r="B786" s="171" t="s">
        <v>121</v>
      </c>
      <c r="C786">
        <v>35</v>
      </c>
      <c r="D786">
        <v>5.1960784313725501</v>
      </c>
    </row>
    <row r="787" spans="1:4" hidden="1" x14ac:dyDescent="0.3">
      <c r="A787">
        <v>2011</v>
      </c>
      <c r="B787" s="171" t="s">
        <v>121</v>
      </c>
      <c r="C787">
        <v>40</v>
      </c>
      <c r="D787">
        <v>4.1568627450980404</v>
      </c>
    </row>
    <row r="788" spans="1:4" hidden="1" x14ac:dyDescent="0.3">
      <c r="A788">
        <v>2011</v>
      </c>
      <c r="B788" s="171" t="s">
        <v>121</v>
      </c>
      <c r="C788">
        <v>45</v>
      </c>
      <c r="D788">
        <v>0</v>
      </c>
    </row>
    <row r="789" spans="1:4" hidden="1" x14ac:dyDescent="0.3">
      <c r="A789">
        <v>2011</v>
      </c>
      <c r="B789" s="171" t="s">
        <v>121</v>
      </c>
      <c r="C789">
        <v>50</v>
      </c>
      <c r="D789">
        <v>4.1568627450980404</v>
      </c>
    </row>
    <row r="790" spans="1:4" hidden="1" x14ac:dyDescent="0.3">
      <c r="A790">
        <v>2011</v>
      </c>
      <c r="B790" s="171" t="s">
        <v>121</v>
      </c>
      <c r="C790">
        <v>55</v>
      </c>
      <c r="D790">
        <v>1.0392156862745101</v>
      </c>
    </row>
    <row r="791" spans="1:4" hidden="1" x14ac:dyDescent="0.3">
      <c r="A791">
        <v>2011</v>
      </c>
      <c r="B791" s="171" t="s">
        <v>121</v>
      </c>
      <c r="C791">
        <v>60</v>
      </c>
      <c r="D791">
        <v>1.0392156862745101</v>
      </c>
    </row>
    <row r="792" spans="1:4" hidden="1" x14ac:dyDescent="0.3">
      <c r="A792">
        <v>2011</v>
      </c>
      <c r="B792" s="171" t="s">
        <v>121</v>
      </c>
      <c r="C792">
        <v>65</v>
      </c>
      <c r="D792">
        <v>0</v>
      </c>
    </row>
    <row r="793" spans="1:4" hidden="1" x14ac:dyDescent="0.3">
      <c r="A793">
        <v>2011</v>
      </c>
      <c r="B793" s="171" t="s">
        <v>121</v>
      </c>
      <c r="C793">
        <v>70</v>
      </c>
      <c r="D793">
        <v>1.0392156862745101</v>
      </c>
    </row>
    <row r="794" spans="1:4" hidden="1" x14ac:dyDescent="0.3">
      <c r="A794">
        <v>2011</v>
      </c>
      <c r="B794" s="171" t="s">
        <v>121</v>
      </c>
      <c r="C794">
        <v>75</v>
      </c>
      <c r="D794">
        <v>0</v>
      </c>
    </row>
    <row r="795" spans="1:4" hidden="1" x14ac:dyDescent="0.3">
      <c r="A795">
        <v>2011</v>
      </c>
      <c r="B795" s="171" t="s">
        <v>121</v>
      </c>
      <c r="C795">
        <v>80</v>
      </c>
      <c r="D795">
        <v>0</v>
      </c>
    </row>
    <row r="796" spans="1:4" hidden="1" x14ac:dyDescent="0.3">
      <c r="A796">
        <v>2011</v>
      </c>
      <c r="B796" s="171" t="s">
        <v>121</v>
      </c>
      <c r="C796">
        <v>85</v>
      </c>
      <c r="D796">
        <v>1.0392156862745101</v>
      </c>
    </row>
    <row r="797" spans="1:4" hidden="1" x14ac:dyDescent="0.3">
      <c r="A797">
        <v>2012</v>
      </c>
      <c r="B797" s="171" t="s">
        <v>121</v>
      </c>
      <c r="C797">
        <v>1</v>
      </c>
      <c r="D797">
        <v>1.01761804087385</v>
      </c>
    </row>
    <row r="798" spans="1:4" hidden="1" x14ac:dyDescent="0.3">
      <c r="A798">
        <v>2012</v>
      </c>
      <c r="B798" s="171" t="s">
        <v>121</v>
      </c>
      <c r="C798">
        <v>5</v>
      </c>
      <c r="D798">
        <v>0</v>
      </c>
    </row>
    <row r="799" spans="1:4" hidden="1" x14ac:dyDescent="0.3">
      <c r="A799">
        <v>2012</v>
      </c>
      <c r="B799" s="171" t="s">
        <v>121</v>
      </c>
      <c r="C799">
        <v>10</v>
      </c>
      <c r="D799">
        <v>1.01761804087385</v>
      </c>
    </row>
    <row r="800" spans="1:4" hidden="1" x14ac:dyDescent="0.3">
      <c r="A800">
        <v>2012</v>
      </c>
      <c r="B800" s="171" t="s">
        <v>121</v>
      </c>
      <c r="C800">
        <v>15</v>
      </c>
      <c r="D800">
        <v>13.229034531360099</v>
      </c>
    </row>
    <row r="801" spans="1:4" hidden="1" x14ac:dyDescent="0.3">
      <c r="A801">
        <v>2012</v>
      </c>
      <c r="B801" s="171" t="s">
        <v>121</v>
      </c>
      <c r="C801">
        <v>20</v>
      </c>
      <c r="D801">
        <v>11.1937984496124</v>
      </c>
    </row>
    <row r="802" spans="1:4" hidden="1" x14ac:dyDescent="0.3">
      <c r="A802">
        <v>2012</v>
      </c>
      <c r="B802" s="171" t="s">
        <v>121</v>
      </c>
      <c r="C802">
        <v>25</v>
      </c>
      <c r="D802">
        <v>10.949570119802701</v>
      </c>
    </row>
    <row r="803" spans="1:4" hidden="1" x14ac:dyDescent="0.3">
      <c r="A803">
        <v>2012</v>
      </c>
      <c r="B803" s="171" t="s">
        <v>121</v>
      </c>
      <c r="C803">
        <v>30</v>
      </c>
      <c r="D803">
        <v>4.0704721634954204</v>
      </c>
    </row>
    <row r="804" spans="1:4" hidden="1" x14ac:dyDescent="0.3">
      <c r="A804">
        <v>2012</v>
      </c>
      <c r="B804" s="171" t="s">
        <v>121</v>
      </c>
      <c r="C804">
        <v>35</v>
      </c>
      <c r="D804">
        <v>5.0880902043692702</v>
      </c>
    </row>
    <row r="805" spans="1:4" hidden="1" x14ac:dyDescent="0.3">
      <c r="A805">
        <v>2012</v>
      </c>
      <c r="B805" s="171" t="s">
        <v>121</v>
      </c>
      <c r="C805">
        <v>40</v>
      </c>
      <c r="D805">
        <v>5.0880902043692702</v>
      </c>
    </row>
    <row r="806" spans="1:4" hidden="1" x14ac:dyDescent="0.3">
      <c r="A806">
        <v>2012</v>
      </c>
      <c r="B806" s="171" t="s">
        <v>121</v>
      </c>
      <c r="C806">
        <v>45</v>
      </c>
      <c r="D806">
        <v>2.0352360817477102</v>
      </c>
    </row>
    <row r="807" spans="1:4" hidden="1" x14ac:dyDescent="0.3">
      <c r="A807">
        <v>2012</v>
      </c>
      <c r="B807" s="171" t="s">
        <v>121</v>
      </c>
      <c r="C807">
        <v>50</v>
      </c>
      <c r="D807">
        <v>1.01761804087385</v>
      </c>
    </row>
    <row r="808" spans="1:4" hidden="1" x14ac:dyDescent="0.3">
      <c r="A808">
        <v>2012</v>
      </c>
      <c r="B808" s="171" t="s">
        <v>121</v>
      </c>
      <c r="C808">
        <v>55</v>
      </c>
      <c r="D808">
        <v>1.01761804087385</v>
      </c>
    </row>
    <row r="809" spans="1:4" hidden="1" x14ac:dyDescent="0.3">
      <c r="A809">
        <v>2012</v>
      </c>
      <c r="B809" s="171" t="s">
        <v>121</v>
      </c>
      <c r="C809">
        <v>60</v>
      </c>
      <c r="D809">
        <v>0</v>
      </c>
    </row>
    <row r="810" spans="1:4" hidden="1" x14ac:dyDescent="0.3">
      <c r="A810">
        <v>2012</v>
      </c>
      <c r="B810" s="171" t="s">
        <v>121</v>
      </c>
      <c r="C810">
        <v>65</v>
      </c>
      <c r="D810">
        <v>2.0352360817477102</v>
      </c>
    </row>
    <row r="811" spans="1:4" hidden="1" x14ac:dyDescent="0.3">
      <c r="A811">
        <v>2012</v>
      </c>
      <c r="B811" s="171" t="s">
        <v>121</v>
      </c>
      <c r="C811">
        <v>70</v>
      </c>
      <c r="D811">
        <v>0</v>
      </c>
    </row>
    <row r="812" spans="1:4" hidden="1" x14ac:dyDescent="0.3">
      <c r="A812">
        <v>2012</v>
      </c>
      <c r="B812" s="171" t="s">
        <v>121</v>
      </c>
      <c r="C812">
        <v>75</v>
      </c>
      <c r="D812">
        <v>0</v>
      </c>
    </row>
    <row r="813" spans="1:4" hidden="1" x14ac:dyDescent="0.3">
      <c r="A813">
        <v>2012</v>
      </c>
      <c r="B813" s="171" t="s">
        <v>121</v>
      </c>
      <c r="C813">
        <v>80</v>
      </c>
      <c r="D813">
        <v>0</v>
      </c>
    </row>
    <row r="814" spans="1:4" hidden="1" x14ac:dyDescent="0.3">
      <c r="A814">
        <v>2012</v>
      </c>
      <c r="B814" s="171" t="s">
        <v>121</v>
      </c>
      <c r="C814">
        <v>85</v>
      </c>
      <c r="D814">
        <v>0</v>
      </c>
    </row>
    <row r="815" spans="1:4" hidden="1" x14ac:dyDescent="0.3">
      <c r="A815">
        <v>2013</v>
      </c>
      <c r="B815" s="171" t="s">
        <v>121</v>
      </c>
      <c r="C815">
        <v>0</v>
      </c>
      <c r="D815">
        <v>0</v>
      </c>
    </row>
    <row r="816" spans="1:4" hidden="1" x14ac:dyDescent="0.3">
      <c r="A816">
        <v>2013</v>
      </c>
      <c r="B816" s="171" t="s">
        <v>121</v>
      </c>
      <c r="C816">
        <v>1</v>
      </c>
      <c r="D816">
        <v>1</v>
      </c>
    </row>
    <row r="817" spans="1:4" hidden="1" x14ac:dyDescent="0.3">
      <c r="A817">
        <v>2013</v>
      </c>
      <c r="B817" s="171" t="s">
        <v>121</v>
      </c>
      <c r="C817">
        <v>5</v>
      </c>
      <c r="D817">
        <v>1</v>
      </c>
    </row>
    <row r="818" spans="1:4" hidden="1" x14ac:dyDescent="0.3">
      <c r="A818">
        <v>2013</v>
      </c>
      <c r="B818" s="171" t="s">
        <v>121</v>
      </c>
      <c r="C818">
        <v>10</v>
      </c>
      <c r="D818">
        <v>1</v>
      </c>
    </row>
    <row r="819" spans="1:4" hidden="1" x14ac:dyDescent="0.3">
      <c r="A819">
        <v>2013</v>
      </c>
      <c r="B819" s="171" t="s">
        <v>121</v>
      </c>
      <c r="C819">
        <v>15</v>
      </c>
      <c r="D819">
        <v>7</v>
      </c>
    </row>
    <row r="820" spans="1:4" hidden="1" x14ac:dyDescent="0.3">
      <c r="A820">
        <v>2013</v>
      </c>
      <c r="B820" s="171" t="s">
        <v>121</v>
      </c>
      <c r="C820">
        <v>20</v>
      </c>
      <c r="D820">
        <v>4</v>
      </c>
    </row>
    <row r="821" spans="1:4" hidden="1" x14ac:dyDescent="0.3">
      <c r="A821">
        <v>2013</v>
      </c>
      <c r="B821" s="171" t="s">
        <v>121</v>
      </c>
      <c r="C821">
        <v>25</v>
      </c>
      <c r="D821">
        <v>5</v>
      </c>
    </row>
    <row r="822" spans="1:4" hidden="1" x14ac:dyDescent="0.3">
      <c r="A822">
        <v>2013</v>
      </c>
      <c r="B822" s="171" t="s">
        <v>121</v>
      </c>
      <c r="C822">
        <v>30</v>
      </c>
      <c r="D822">
        <v>5</v>
      </c>
    </row>
    <row r="823" spans="1:4" hidden="1" x14ac:dyDescent="0.3">
      <c r="A823">
        <v>2013</v>
      </c>
      <c r="B823" s="171" t="s">
        <v>121</v>
      </c>
      <c r="C823">
        <v>35</v>
      </c>
      <c r="D823">
        <v>3</v>
      </c>
    </row>
    <row r="824" spans="1:4" hidden="1" x14ac:dyDescent="0.3">
      <c r="A824">
        <v>2013</v>
      </c>
      <c r="B824" s="171" t="s">
        <v>121</v>
      </c>
      <c r="C824">
        <v>40</v>
      </c>
      <c r="D824">
        <v>2</v>
      </c>
    </row>
    <row r="825" spans="1:4" hidden="1" x14ac:dyDescent="0.3">
      <c r="A825">
        <v>2013</v>
      </c>
      <c r="B825" s="171" t="s">
        <v>121</v>
      </c>
      <c r="C825">
        <v>45</v>
      </c>
      <c r="D825">
        <v>3</v>
      </c>
    </row>
    <row r="826" spans="1:4" hidden="1" x14ac:dyDescent="0.3">
      <c r="A826">
        <v>2013</v>
      </c>
      <c r="B826" s="171" t="s">
        <v>121</v>
      </c>
      <c r="C826">
        <v>50</v>
      </c>
      <c r="D826">
        <v>4</v>
      </c>
    </row>
    <row r="827" spans="1:4" hidden="1" x14ac:dyDescent="0.3">
      <c r="A827">
        <v>2013</v>
      </c>
      <c r="B827" s="171" t="s">
        <v>121</v>
      </c>
      <c r="C827">
        <v>55</v>
      </c>
      <c r="D827">
        <v>0</v>
      </c>
    </row>
    <row r="828" spans="1:4" hidden="1" x14ac:dyDescent="0.3">
      <c r="A828">
        <v>2013</v>
      </c>
      <c r="B828" s="171" t="s">
        <v>121</v>
      </c>
      <c r="C828">
        <v>60</v>
      </c>
      <c r="D828">
        <v>0</v>
      </c>
    </row>
    <row r="829" spans="1:4" hidden="1" x14ac:dyDescent="0.3">
      <c r="A829">
        <v>2013</v>
      </c>
      <c r="B829" s="171" t="s">
        <v>121</v>
      </c>
      <c r="C829">
        <v>65</v>
      </c>
      <c r="D829">
        <v>1</v>
      </c>
    </row>
    <row r="830" spans="1:4" hidden="1" x14ac:dyDescent="0.3">
      <c r="A830">
        <v>2013</v>
      </c>
      <c r="B830" s="171" t="s">
        <v>121</v>
      </c>
      <c r="C830">
        <v>70</v>
      </c>
      <c r="D830">
        <v>0</v>
      </c>
    </row>
    <row r="831" spans="1:4" hidden="1" x14ac:dyDescent="0.3">
      <c r="A831">
        <v>2013</v>
      </c>
      <c r="B831" s="171" t="s">
        <v>121</v>
      </c>
      <c r="C831">
        <v>75</v>
      </c>
      <c r="D831">
        <v>0</v>
      </c>
    </row>
    <row r="832" spans="1:4" hidden="1" x14ac:dyDescent="0.3">
      <c r="A832">
        <v>2013</v>
      </c>
      <c r="B832" s="171" t="s">
        <v>121</v>
      </c>
      <c r="C832">
        <v>80</v>
      </c>
      <c r="D832">
        <v>1</v>
      </c>
    </row>
    <row r="833" spans="1:4" hidden="1" x14ac:dyDescent="0.3">
      <c r="A833">
        <v>2014</v>
      </c>
      <c r="B833" s="171" t="s">
        <v>121</v>
      </c>
      <c r="C833">
        <v>0</v>
      </c>
      <c r="D833">
        <v>2</v>
      </c>
    </row>
    <row r="834" spans="1:4" hidden="1" x14ac:dyDescent="0.3">
      <c r="A834">
        <v>2014</v>
      </c>
      <c r="B834" s="171" t="s">
        <v>121</v>
      </c>
      <c r="C834">
        <v>1</v>
      </c>
      <c r="D834">
        <v>2</v>
      </c>
    </row>
    <row r="835" spans="1:4" hidden="1" x14ac:dyDescent="0.3">
      <c r="A835">
        <v>2014</v>
      </c>
      <c r="B835" s="171" t="s">
        <v>121</v>
      </c>
      <c r="C835">
        <v>5</v>
      </c>
      <c r="D835">
        <v>4</v>
      </c>
    </row>
    <row r="836" spans="1:4" hidden="1" x14ac:dyDescent="0.3">
      <c r="A836">
        <v>2014</v>
      </c>
      <c r="B836" s="171" t="s">
        <v>121</v>
      </c>
      <c r="C836">
        <v>10</v>
      </c>
      <c r="D836">
        <v>0</v>
      </c>
    </row>
    <row r="837" spans="1:4" hidden="1" x14ac:dyDescent="0.3">
      <c r="A837">
        <v>2014</v>
      </c>
      <c r="B837" s="171" t="s">
        <v>121</v>
      </c>
      <c r="C837">
        <v>15</v>
      </c>
      <c r="D837">
        <v>6</v>
      </c>
    </row>
    <row r="838" spans="1:4" hidden="1" x14ac:dyDescent="0.3">
      <c r="A838">
        <v>2014</v>
      </c>
      <c r="B838" s="171" t="s">
        <v>121</v>
      </c>
      <c r="C838">
        <v>20</v>
      </c>
      <c r="D838">
        <v>3</v>
      </c>
    </row>
    <row r="839" spans="1:4" hidden="1" x14ac:dyDescent="0.3">
      <c r="A839">
        <v>2014</v>
      </c>
      <c r="B839" s="171" t="s">
        <v>121</v>
      </c>
      <c r="C839">
        <v>25</v>
      </c>
      <c r="D839">
        <v>5</v>
      </c>
    </row>
    <row r="840" spans="1:4" hidden="1" x14ac:dyDescent="0.3">
      <c r="A840">
        <v>2014</v>
      </c>
      <c r="B840" s="171" t="s">
        <v>121</v>
      </c>
      <c r="C840">
        <v>30</v>
      </c>
      <c r="D840">
        <v>7</v>
      </c>
    </row>
    <row r="841" spans="1:4" hidden="1" x14ac:dyDescent="0.3">
      <c r="A841">
        <v>2014</v>
      </c>
      <c r="B841" s="171" t="s">
        <v>121</v>
      </c>
      <c r="C841">
        <v>35</v>
      </c>
      <c r="D841">
        <v>2</v>
      </c>
    </row>
    <row r="842" spans="1:4" hidden="1" x14ac:dyDescent="0.3">
      <c r="A842">
        <v>2014</v>
      </c>
      <c r="B842" s="171" t="s">
        <v>121</v>
      </c>
      <c r="C842">
        <v>40</v>
      </c>
      <c r="D842">
        <v>3</v>
      </c>
    </row>
    <row r="843" spans="1:4" hidden="1" x14ac:dyDescent="0.3">
      <c r="A843">
        <v>2014</v>
      </c>
      <c r="B843" s="171" t="s">
        <v>121</v>
      </c>
      <c r="C843">
        <v>45</v>
      </c>
      <c r="D843">
        <v>1</v>
      </c>
    </row>
    <row r="844" spans="1:4" hidden="1" x14ac:dyDescent="0.3">
      <c r="A844">
        <v>2014</v>
      </c>
      <c r="B844" s="171" t="s">
        <v>121</v>
      </c>
      <c r="C844">
        <v>50</v>
      </c>
      <c r="D844">
        <v>1</v>
      </c>
    </row>
    <row r="845" spans="1:4" hidden="1" x14ac:dyDescent="0.3">
      <c r="A845">
        <v>2014</v>
      </c>
      <c r="B845" s="171" t="s">
        <v>121</v>
      </c>
      <c r="C845">
        <v>55</v>
      </c>
      <c r="D845">
        <v>1</v>
      </c>
    </row>
    <row r="846" spans="1:4" hidden="1" x14ac:dyDescent="0.3">
      <c r="A846">
        <v>2014</v>
      </c>
      <c r="B846" s="171" t="s">
        <v>121</v>
      </c>
      <c r="C846">
        <v>60</v>
      </c>
      <c r="D846">
        <v>0</v>
      </c>
    </row>
    <row r="847" spans="1:4" hidden="1" x14ac:dyDescent="0.3">
      <c r="A847">
        <v>2014</v>
      </c>
      <c r="B847" s="171" t="s">
        <v>121</v>
      </c>
      <c r="C847">
        <v>65</v>
      </c>
      <c r="D847">
        <v>1</v>
      </c>
    </row>
    <row r="848" spans="1:4" hidden="1" x14ac:dyDescent="0.3">
      <c r="A848">
        <v>2014</v>
      </c>
      <c r="B848" s="171" t="s">
        <v>121</v>
      </c>
      <c r="C848">
        <v>70</v>
      </c>
      <c r="D848">
        <v>0</v>
      </c>
    </row>
    <row r="849" spans="1:4" hidden="1" x14ac:dyDescent="0.3">
      <c r="A849">
        <v>2014</v>
      </c>
      <c r="B849" s="171" t="s">
        <v>121</v>
      </c>
      <c r="C849">
        <v>75</v>
      </c>
      <c r="D849">
        <v>2</v>
      </c>
    </row>
    <row r="850" spans="1:4" hidden="1" x14ac:dyDescent="0.3">
      <c r="A850">
        <v>2014</v>
      </c>
      <c r="B850" s="171" t="s">
        <v>121</v>
      </c>
      <c r="C850">
        <v>80</v>
      </c>
      <c r="D850">
        <v>1</v>
      </c>
    </row>
    <row r="851" spans="1:4" hidden="1" x14ac:dyDescent="0.3">
      <c r="A851">
        <v>2014</v>
      </c>
      <c r="B851" s="171" t="s">
        <v>121</v>
      </c>
      <c r="C851">
        <v>85</v>
      </c>
      <c r="D851">
        <v>0</v>
      </c>
    </row>
    <row r="852" spans="1:4" hidden="1" x14ac:dyDescent="0.3">
      <c r="A852">
        <v>2015</v>
      </c>
      <c r="B852" s="171" t="s">
        <v>121</v>
      </c>
      <c r="C852">
        <v>0</v>
      </c>
      <c r="D852">
        <v>1.0526315789473699</v>
      </c>
    </row>
    <row r="853" spans="1:4" hidden="1" x14ac:dyDescent="0.3">
      <c r="A853">
        <v>2015</v>
      </c>
      <c r="B853" s="171" t="s">
        <v>121</v>
      </c>
      <c r="C853">
        <v>5</v>
      </c>
      <c r="D853">
        <v>2.1052631578947398</v>
      </c>
    </row>
    <row r="854" spans="1:4" hidden="1" x14ac:dyDescent="0.3">
      <c r="A854">
        <v>2015</v>
      </c>
      <c r="B854" s="171" t="s">
        <v>121</v>
      </c>
      <c r="C854">
        <v>10</v>
      </c>
      <c r="D854">
        <v>1.0526315789473699</v>
      </c>
    </row>
    <row r="855" spans="1:4" hidden="1" x14ac:dyDescent="0.3">
      <c r="A855">
        <v>2015</v>
      </c>
      <c r="B855" s="171" t="s">
        <v>121</v>
      </c>
      <c r="C855">
        <v>15</v>
      </c>
      <c r="D855">
        <v>8.4210526315789505</v>
      </c>
    </row>
    <row r="856" spans="1:4" hidden="1" x14ac:dyDescent="0.3">
      <c r="A856">
        <v>2015</v>
      </c>
      <c r="B856" s="171" t="s">
        <v>121</v>
      </c>
      <c r="C856">
        <v>20</v>
      </c>
      <c r="D856">
        <v>5.2631578947368398</v>
      </c>
    </row>
    <row r="857" spans="1:4" hidden="1" x14ac:dyDescent="0.3">
      <c r="A857">
        <v>2015</v>
      </c>
      <c r="B857" s="171" t="s">
        <v>121</v>
      </c>
      <c r="C857">
        <v>25</v>
      </c>
      <c r="D857">
        <v>7.3684210526315796</v>
      </c>
    </row>
    <row r="858" spans="1:4" hidden="1" x14ac:dyDescent="0.3">
      <c r="A858">
        <v>2015</v>
      </c>
      <c r="B858" s="171" t="s">
        <v>121</v>
      </c>
      <c r="C858">
        <v>30</v>
      </c>
      <c r="D858">
        <v>2.1052631578947398</v>
      </c>
    </row>
    <row r="859" spans="1:4" hidden="1" x14ac:dyDescent="0.3">
      <c r="A859">
        <v>2015</v>
      </c>
      <c r="B859" s="171" t="s">
        <v>121</v>
      </c>
      <c r="C859">
        <v>35</v>
      </c>
      <c r="D859">
        <v>2.1052631578947398</v>
      </c>
    </row>
    <row r="860" spans="1:4" hidden="1" x14ac:dyDescent="0.3">
      <c r="A860">
        <v>2015</v>
      </c>
      <c r="B860" s="171" t="s">
        <v>121</v>
      </c>
      <c r="C860">
        <v>40</v>
      </c>
      <c r="D860">
        <v>0</v>
      </c>
    </row>
    <row r="861" spans="1:4" hidden="1" x14ac:dyDescent="0.3">
      <c r="A861">
        <v>2015</v>
      </c>
      <c r="B861" s="171" t="s">
        <v>121</v>
      </c>
      <c r="C861">
        <v>45</v>
      </c>
      <c r="D861">
        <v>2.1052631578947398</v>
      </c>
    </row>
    <row r="862" spans="1:4" hidden="1" x14ac:dyDescent="0.3">
      <c r="A862">
        <v>2015</v>
      </c>
      <c r="B862" s="171" t="s">
        <v>121</v>
      </c>
      <c r="C862">
        <v>50</v>
      </c>
      <c r="D862">
        <v>1.0526315789473699</v>
      </c>
    </row>
    <row r="863" spans="1:4" hidden="1" x14ac:dyDescent="0.3">
      <c r="A863">
        <v>2015</v>
      </c>
      <c r="B863" s="171" t="s">
        <v>121</v>
      </c>
      <c r="C863">
        <v>55</v>
      </c>
      <c r="D863">
        <v>1.0526315789473699</v>
      </c>
    </row>
    <row r="864" spans="1:4" hidden="1" x14ac:dyDescent="0.3">
      <c r="A864">
        <v>2015</v>
      </c>
      <c r="B864" s="171" t="s">
        <v>121</v>
      </c>
      <c r="C864">
        <v>60</v>
      </c>
      <c r="D864">
        <v>3.1578947368421102</v>
      </c>
    </row>
    <row r="865" spans="1:4" hidden="1" x14ac:dyDescent="0.3">
      <c r="A865">
        <v>2015</v>
      </c>
      <c r="B865" s="171" t="s">
        <v>121</v>
      </c>
      <c r="C865">
        <v>65</v>
      </c>
      <c r="D865">
        <v>0</v>
      </c>
    </row>
    <row r="866" spans="1:4" hidden="1" x14ac:dyDescent="0.3">
      <c r="A866">
        <v>2015</v>
      </c>
      <c r="B866" s="171" t="s">
        <v>121</v>
      </c>
      <c r="C866">
        <v>70</v>
      </c>
      <c r="D866">
        <v>1.0526315789473699</v>
      </c>
    </row>
    <row r="867" spans="1:4" hidden="1" x14ac:dyDescent="0.3">
      <c r="A867">
        <v>2015</v>
      </c>
      <c r="B867" s="171" t="s">
        <v>121</v>
      </c>
      <c r="C867">
        <v>75</v>
      </c>
      <c r="D867">
        <v>0</v>
      </c>
    </row>
    <row r="868" spans="1:4" hidden="1" x14ac:dyDescent="0.3">
      <c r="A868">
        <v>2015</v>
      </c>
      <c r="B868" s="171" t="s">
        <v>121</v>
      </c>
      <c r="C868">
        <v>80</v>
      </c>
      <c r="D868">
        <v>1.0526315789473699</v>
      </c>
    </row>
    <row r="869" spans="1:4" hidden="1" x14ac:dyDescent="0.3">
      <c r="A869">
        <v>2015</v>
      </c>
      <c r="B869" s="171" t="s">
        <v>121</v>
      </c>
      <c r="C869">
        <v>85</v>
      </c>
      <c r="D869">
        <v>1.0526315789473699</v>
      </c>
    </row>
    <row r="870" spans="1:4" hidden="1" x14ac:dyDescent="0.3">
      <c r="A870">
        <v>2016</v>
      </c>
      <c r="B870" s="171" t="s">
        <v>121</v>
      </c>
      <c r="C870">
        <v>10</v>
      </c>
      <c r="D870">
        <v>2.05714285714286</v>
      </c>
    </row>
    <row r="871" spans="1:4" hidden="1" x14ac:dyDescent="0.3">
      <c r="A871">
        <v>2016</v>
      </c>
      <c r="B871" s="171" t="s">
        <v>121</v>
      </c>
      <c r="C871">
        <v>15</v>
      </c>
      <c r="D871">
        <v>7.2</v>
      </c>
    </row>
    <row r="872" spans="1:4" hidden="1" x14ac:dyDescent="0.3">
      <c r="A872">
        <v>2016</v>
      </c>
      <c r="B872" s="171" t="s">
        <v>121</v>
      </c>
      <c r="C872">
        <v>20</v>
      </c>
      <c r="D872">
        <v>4.1142857142857103</v>
      </c>
    </row>
    <row r="873" spans="1:4" hidden="1" x14ac:dyDescent="0.3">
      <c r="A873">
        <v>2016</v>
      </c>
      <c r="B873" s="171" t="s">
        <v>121</v>
      </c>
      <c r="C873">
        <v>25</v>
      </c>
      <c r="D873">
        <v>2.05714285714286</v>
      </c>
    </row>
    <row r="874" spans="1:4" hidden="1" x14ac:dyDescent="0.3">
      <c r="A874">
        <v>2016</v>
      </c>
      <c r="B874" s="171" t="s">
        <v>121</v>
      </c>
      <c r="C874">
        <v>30</v>
      </c>
      <c r="D874">
        <v>1.02857142857143</v>
      </c>
    </row>
    <row r="875" spans="1:4" hidden="1" x14ac:dyDescent="0.3">
      <c r="A875">
        <v>2016</v>
      </c>
      <c r="B875" s="171" t="s">
        <v>121</v>
      </c>
      <c r="C875">
        <v>35</v>
      </c>
      <c r="D875">
        <v>7.2</v>
      </c>
    </row>
    <row r="876" spans="1:4" hidden="1" x14ac:dyDescent="0.3">
      <c r="A876">
        <v>2016</v>
      </c>
      <c r="B876" s="171" t="s">
        <v>121</v>
      </c>
      <c r="C876">
        <v>40</v>
      </c>
      <c r="D876">
        <v>4.1142857142857103</v>
      </c>
    </row>
    <row r="877" spans="1:4" hidden="1" x14ac:dyDescent="0.3">
      <c r="A877">
        <v>2016</v>
      </c>
      <c r="B877" s="171" t="s">
        <v>121</v>
      </c>
      <c r="C877">
        <v>45</v>
      </c>
      <c r="D877">
        <v>0</v>
      </c>
    </row>
    <row r="878" spans="1:4" hidden="1" x14ac:dyDescent="0.3">
      <c r="A878">
        <v>2016</v>
      </c>
      <c r="B878" s="171" t="s">
        <v>121</v>
      </c>
      <c r="C878">
        <v>50</v>
      </c>
      <c r="D878">
        <v>1.02857142857143</v>
      </c>
    </row>
    <row r="879" spans="1:4" hidden="1" x14ac:dyDescent="0.3">
      <c r="A879">
        <v>2016</v>
      </c>
      <c r="B879" s="171" t="s">
        <v>121</v>
      </c>
      <c r="C879">
        <v>55</v>
      </c>
      <c r="D879">
        <v>0</v>
      </c>
    </row>
    <row r="880" spans="1:4" hidden="1" x14ac:dyDescent="0.3">
      <c r="A880">
        <v>2016</v>
      </c>
      <c r="B880" s="171" t="s">
        <v>121</v>
      </c>
      <c r="C880">
        <v>60</v>
      </c>
      <c r="D880">
        <v>3.0857142857142899</v>
      </c>
    </row>
    <row r="881" spans="1:4" hidden="1" x14ac:dyDescent="0.3">
      <c r="A881">
        <v>2016</v>
      </c>
      <c r="B881" s="171" t="s">
        <v>121</v>
      </c>
      <c r="C881">
        <v>65</v>
      </c>
      <c r="D881">
        <v>1.02857142857143</v>
      </c>
    </row>
    <row r="882" spans="1:4" hidden="1" x14ac:dyDescent="0.3">
      <c r="A882">
        <v>2016</v>
      </c>
      <c r="B882" s="171" t="s">
        <v>121</v>
      </c>
      <c r="C882">
        <v>70</v>
      </c>
      <c r="D882">
        <v>1.02857142857143</v>
      </c>
    </row>
    <row r="883" spans="1:4" hidden="1" x14ac:dyDescent="0.3">
      <c r="A883">
        <v>2016</v>
      </c>
      <c r="B883" s="171" t="s">
        <v>121</v>
      </c>
      <c r="C883">
        <v>75</v>
      </c>
      <c r="D883">
        <v>0</v>
      </c>
    </row>
    <row r="884" spans="1:4" hidden="1" x14ac:dyDescent="0.3">
      <c r="A884">
        <v>2016</v>
      </c>
      <c r="B884" s="171" t="s">
        <v>121</v>
      </c>
      <c r="C884">
        <v>80</v>
      </c>
      <c r="D884">
        <v>2.05714285714286</v>
      </c>
    </row>
    <row r="885" spans="1:4" hidden="1" x14ac:dyDescent="0.3">
      <c r="A885">
        <v>2016</v>
      </c>
      <c r="B885" s="171" t="s">
        <v>121</v>
      </c>
      <c r="C885">
        <v>85</v>
      </c>
      <c r="D885">
        <v>0</v>
      </c>
    </row>
    <row r="886" spans="1:4" hidden="1" x14ac:dyDescent="0.3">
      <c r="A886">
        <v>2017</v>
      </c>
      <c r="B886" s="171" t="s">
        <v>121</v>
      </c>
      <c r="C886">
        <v>10</v>
      </c>
      <c r="D886">
        <v>2</v>
      </c>
    </row>
    <row r="887" spans="1:4" hidden="1" x14ac:dyDescent="0.3">
      <c r="A887">
        <v>2017</v>
      </c>
      <c r="B887" s="171" t="s">
        <v>121</v>
      </c>
      <c r="C887">
        <v>15</v>
      </c>
      <c r="D887">
        <v>5</v>
      </c>
    </row>
    <row r="888" spans="1:4" hidden="1" x14ac:dyDescent="0.3">
      <c r="A888">
        <v>2017</v>
      </c>
      <c r="B888" s="171" t="s">
        <v>121</v>
      </c>
      <c r="C888">
        <v>20</v>
      </c>
      <c r="D888">
        <v>7</v>
      </c>
    </row>
    <row r="889" spans="1:4" hidden="1" x14ac:dyDescent="0.3">
      <c r="A889">
        <v>2017</v>
      </c>
      <c r="B889" s="171" t="s">
        <v>121</v>
      </c>
      <c r="C889">
        <v>25</v>
      </c>
      <c r="D889">
        <v>8</v>
      </c>
    </row>
    <row r="890" spans="1:4" hidden="1" x14ac:dyDescent="0.3">
      <c r="A890">
        <v>2017</v>
      </c>
      <c r="B890" s="171" t="s">
        <v>121</v>
      </c>
      <c r="C890">
        <v>30</v>
      </c>
      <c r="D890">
        <v>6</v>
      </c>
    </row>
    <row r="891" spans="1:4" hidden="1" x14ac:dyDescent="0.3">
      <c r="A891">
        <v>2017</v>
      </c>
      <c r="B891" s="171" t="s">
        <v>121</v>
      </c>
      <c r="C891">
        <v>35</v>
      </c>
      <c r="D891">
        <v>5</v>
      </c>
    </row>
    <row r="892" spans="1:4" hidden="1" x14ac:dyDescent="0.3">
      <c r="A892">
        <v>2017</v>
      </c>
      <c r="B892" s="171" t="s">
        <v>121</v>
      </c>
      <c r="C892">
        <v>40</v>
      </c>
      <c r="D892">
        <v>8</v>
      </c>
    </row>
    <row r="893" spans="1:4" hidden="1" x14ac:dyDescent="0.3">
      <c r="A893">
        <v>2017</v>
      </c>
      <c r="B893" s="171" t="s">
        <v>121</v>
      </c>
      <c r="C893">
        <v>45</v>
      </c>
      <c r="D893">
        <v>3</v>
      </c>
    </row>
    <row r="894" spans="1:4" hidden="1" x14ac:dyDescent="0.3">
      <c r="A894">
        <v>2017</v>
      </c>
      <c r="B894" s="171" t="s">
        <v>121</v>
      </c>
      <c r="C894">
        <v>50</v>
      </c>
      <c r="D894">
        <v>1</v>
      </c>
    </row>
    <row r="895" spans="1:4" hidden="1" x14ac:dyDescent="0.3">
      <c r="A895">
        <v>2017</v>
      </c>
      <c r="B895" s="171" t="s">
        <v>121</v>
      </c>
      <c r="C895">
        <v>55</v>
      </c>
      <c r="D895">
        <v>0</v>
      </c>
    </row>
    <row r="896" spans="1:4" hidden="1" x14ac:dyDescent="0.3">
      <c r="A896">
        <v>2017</v>
      </c>
      <c r="B896" s="171" t="s">
        <v>121</v>
      </c>
      <c r="C896">
        <v>60</v>
      </c>
      <c r="D896">
        <v>1</v>
      </c>
    </row>
    <row r="897" spans="1:4" hidden="1" x14ac:dyDescent="0.3">
      <c r="A897">
        <v>2017</v>
      </c>
      <c r="B897" s="171" t="s">
        <v>121</v>
      </c>
      <c r="C897">
        <v>65</v>
      </c>
      <c r="D897">
        <v>1</v>
      </c>
    </row>
    <row r="898" spans="1:4" hidden="1" x14ac:dyDescent="0.3">
      <c r="A898">
        <v>2017</v>
      </c>
      <c r="B898" s="171" t="s">
        <v>121</v>
      </c>
      <c r="C898">
        <v>70</v>
      </c>
      <c r="D898">
        <v>0</v>
      </c>
    </row>
    <row r="899" spans="1:4" hidden="1" x14ac:dyDescent="0.3">
      <c r="A899">
        <v>2017</v>
      </c>
      <c r="B899" s="171" t="s">
        <v>121</v>
      </c>
      <c r="C899">
        <v>75</v>
      </c>
      <c r="D899">
        <v>0</v>
      </c>
    </row>
    <row r="900" spans="1:4" hidden="1" x14ac:dyDescent="0.3">
      <c r="A900">
        <v>2017</v>
      </c>
      <c r="B900" s="171" t="s">
        <v>121</v>
      </c>
      <c r="C900">
        <v>80</v>
      </c>
      <c r="D900">
        <v>1</v>
      </c>
    </row>
    <row r="901" spans="1:4" hidden="1" x14ac:dyDescent="0.3">
      <c r="A901">
        <v>2017</v>
      </c>
      <c r="B901" s="171" t="s">
        <v>121</v>
      </c>
      <c r="C901">
        <v>85</v>
      </c>
      <c r="D901">
        <v>0</v>
      </c>
    </row>
    <row r="902" spans="1:4" x14ac:dyDescent="0.3">
      <c r="A902">
        <v>2019</v>
      </c>
      <c r="B902" s="171" t="s">
        <v>121</v>
      </c>
      <c r="C902">
        <v>0</v>
      </c>
      <c r="D902">
        <v>0</v>
      </c>
    </row>
    <row r="903" spans="1:4" x14ac:dyDescent="0.3">
      <c r="A903">
        <v>2019</v>
      </c>
      <c r="B903" s="171" t="s">
        <v>121</v>
      </c>
      <c r="C903">
        <v>1</v>
      </c>
      <c r="D903">
        <v>1.0204081632653099</v>
      </c>
    </row>
    <row r="904" spans="1:4" x14ac:dyDescent="0.3">
      <c r="A904">
        <v>2019</v>
      </c>
      <c r="B904" s="171" t="s">
        <v>121</v>
      </c>
      <c r="C904">
        <v>10</v>
      </c>
      <c r="D904">
        <v>2.0408163265306101</v>
      </c>
    </row>
    <row r="905" spans="1:4" x14ac:dyDescent="0.3">
      <c r="A905">
        <v>2019</v>
      </c>
      <c r="B905" s="171" t="s">
        <v>121</v>
      </c>
      <c r="C905">
        <v>15</v>
      </c>
      <c r="D905">
        <v>8.1632653061224492</v>
      </c>
    </row>
    <row r="906" spans="1:4" x14ac:dyDescent="0.3">
      <c r="A906">
        <v>2019</v>
      </c>
      <c r="B906" s="171" t="s">
        <v>121</v>
      </c>
      <c r="C906">
        <v>20</v>
      </c>
      <c r="D906">
        <v>8.1632653061224492</v>
      </c>
    </row>
    <row r="907" spans="1:4" x14ac:dyDescent="0.3">
      <c r="A907">
        <v>2019</v>
      </c>
      <c r="B907" s="171" t="s">
        <v>121</v>
      </c>
      <c r="C907">
        <v>25</v>
      </c>
      <c r="D907">
        <v>8.1632653061224492</v>
      </c>
    </row>
    <row r="908" spans="1:4" x14ac:dyDescent="0.3">
      <c r="A908">
        <v>2019</v>
      </c>
      <c r="B908" s="171" t="s">
        <v>121</v>
      </c>
      <c r="C908">
        <v>30</v>
      </c>
      <c r="D908">
        <v>4.0816326530612201</v>
      </c>
    </row>
    <row r="909" spans="1:4" x14ac:dyDescent="0.3">
      <c r="A909">
        <v>2019</v>
      </c>
      <c r="B909" s="171" t="s">
        <v>121</v>
      </c>
      <c r="C909">
        <v>35</v>
      </c>
      <c r="D909">
        <v>7.1428571428571397</v>
      </c>
    </row>
    <row r="910" spans="1:4" x14ac:dyDescent="0.3">
      <c r="A910">
        <v>2019</v>
      </c>
      <c r="B910" s="171" t="s">
        <v>121</v>
      </c>
      <c r="C910">
        <v>40</v>
      </c>
      <c r="D910">
        <v>1.0204081632653099</v>
      </c>
    </row>
    <row r="911" spans="1:4" x14ac:dyDescent="0.3">
      <c r="A911">
        <v>2019</v>
      </c>
      <c r="B911" s="171" t="s">
        <v>121</v>
      </c>
      <c r="C911">
        <v>45</v>
      </c>
      <c r="D911">
        <v>1.0204081632653099</v>
      </c>
    </row>
    <row r="912" spans="1:4" x14ac:dyDescent="0.3">
      <c r="A912">
        <v>2019</v>
      </c>
      <c r="B912" s="171" t="s">
        <v>121</v>
      </c>
      <c r="C912">
        <v>50</v>
      </c>
      <c r="D912">
        <v>2.0408163265306101</v>
      </c>
    </row>
    <row r="913" spans="1:4" x14ac:dyDescent="0.3">
      <c r="A913">
        <v>2019</v>
      </c>
      <c r="B913" s="171" t="s">
        <v>121</v>
      </c>
      <c r="C913">
        <v>55</v>
      </c>
      <c r="D913">
        <v>3.06122448979592</v>
      </c>
    </row>
    <row r="914" spans="1:4" x14ac:dyDescent="0.3">
      <c r="A914">
        <v>2019</v>
      </c>
      <c r="B914" s="171" t="s">
        <v>121</v>
      </c>
      <c r="C914">
        <v>60</v>
      </c>
      <c r="D914">
        <v>0</v>
      </c>
    </row>
    <row r="915" spans="1:4" x14ac:dyDescent="0.3">
      <c r="A915">
        <v>2019</v>
      </c>
      <c r="B915" s="171" t="s">
        <v>121</v>
      </c>
      <c r="C915">
        <v>65</v>
      </c>
      <c r="D915">
        <v>0</v>
      </c>
    </row>
    <row r="916" spans="1:4" x14ac:dyDescent="0.3">
      <c r="A916">
        <v>2019</v>
      </c>
      <c r="B916" s="171" t="s">
        <v>121</v>
      </c>
      <c r="C916">
        <v>70</v>
      </c>
      <c r="D916">
        <v>1.0204081632653099</v>
      </c>
    </row>
    <row r="917" spans="1:4" x14ac:dyDescent="0.3">
      <c r="A917">
        <v>2019</v>
      </c>
      <c r="B917" s="171" t="s">
        <v>121</v>
      </c>
      <c r="C917">
        <v>75</v>
      </c>
      <c r="D917">
        <v>1.0204081632653099</v>
      </c>
    </row>
    <row r="918" spans="1:4" x14ac:dyDescent="0.3">
      <c r="A918">
        <v>2019</v>
      </c>
      <c r="B918" s="171" t="s">
        <v>121</v>
      </c>
      <c r="C918">
        <v>80</v>
      </c>
      <c r="D918">
        <v>2.0408163265306101</v>
      </c>
    </row>
    <row r="919" spans="1:4" x14ac:dyDescent="0.3">
      <c r="A919">
        <v>2019</v>
      </c>
      <c r="B919" s="171" t="s">
        <v>121</v>
      </c>
      <c r="C919">
        <v>85</v>
      </c>
      <c r="D919">
        <v>0</v>
      </c>
    </row>
    <row r="920" spans="1:4" hidden="1" x14ac:dyDescent="0.3">
      <c r="A920">
        <v>2020</v>
      </c>
      <c r="B920" s="171" t="s">
        <v>121</v>
      </c>
      <c r="C920">
        <v>0</v>
      </c>
      <c r="D920">
        <v>2.3333333333333299</v>
      </c>
    </row>
    <row r="921" spans="1:4" hidden="1" x14ac:dyDescent="0.3">
      <c r="A921">
        <v>2020</v>
      </c>
      <c r="B921" s="171" t="s">
        <v>121</v>
      </c>
      <c r="C921">
        <v>1</v>
      </c>
      <c r="D921">
        <v>0</v>
      </c>
    </row>
    <row r="922" spans="1:4" hidden="1" x14ac:dyDescent="0.3">
      <c r="A922">
        <v>2020</v>
      </c>
      <c r="B922" s="171" t="s">
        <v>121</v>
      </c>
      <c r="C922">
        <v>5</v>
      </c>
      <c r="D922">
        <v>2</v>
      </c>
    </row>
    <row r="923" spans="1:4" hidden="1" x14ac:dyDescent="0.3">
      <c r="A923">
        <v>2020</v>
      </c>
      <c r="B923" s="171" t="s">
        <v>121</v>
      </c>
      <c r="C923">
        <v>10</v>
      </c>
      <c r="D923">
        <v>2</v>
      </c>
    </row>
    <row r="924" spans="1:4" hidden="1" x14ac:dyDescent="0.3">
      <c r="A924">
        <v>2020</v>
      </c>
      <c r="B924" s="171" t="s">
        <v>121</v>
      </c>
      <c r="C924">
        <v>15</v>
      </c>
      <c r="D924">
        <v>7</v>
      </c>
    </row>
    <row r="925" spans="1:4" hidden="1" x14ac:dyDescent="0.3">
      <c r="A925">
        <v>2020</v>
      </c>
      <c r="B925" s="171" t="s">
        <v>121</v>
      </c>
      <c r="C925">
        <v>20</v>
      </c>
      <c r="D925">
        <v>8</v>
      </c>
    </row>
    <row r="926" spans="1:4" hidden="1" x14ac:dyDescent="0.3">
      <c r="A926">
        <v>2020</v>
      </c>
      <c r="B926" s="171" t="s">
        <v>121</v>
      </c>
      <c r="C926">
        <v>25</v>
      </c>
      <c r="D926">
        <v>9</v>
      </c>
    </row>
    <row r="927" spans="1:4" hidden="1" x14ac:dyDescent="0.3">
      <c r="A927">
        <v>2020</v>
      </c>
      <c r="B927" s="171" t="s">
        <v>121</v>
      </c>
      <c r="C927">
        <v>30</v>
      </c>
      <c r="D927">
        <v>9</v>
      </c>
    </row>
    <row r="928" spans="1:4" hidden="1" x14ac:dyDescent="0.3">
      <c r="A928">
        <v>2020</v>
      </c>
      <c r="B928" s="171" t="s">
        <v>121</v>
      </c>
      <c r="C928">
        <v>35</v>
      </c>
      <c r="D928">
        <v>6</v>
      </c>
    </row>
    <row r="929" spans="1:4" hidden="1" x14ac:dyDescent="0.3">
      <c r="A929">
        <v>2020</v>
      </c>
      <c r="B929" s="171" t="s">
        <v>121</v>
      </c>
      <c r="C929">
        <v>40</v>
      </c>
      <c r="D929">
        <v>3</v>
      </c>
    </row>
    <row r="930" spans="1:4" hidden="1" x14ac:dyDescent="0.3">
      <c r="A930">
        <v>2020</v>
      </c>
      <c r="B930" s="171" t="s">
        <v>121</v>
      </c>
      <c r="C930">
        <v>45</v>
      </c>
      <c r="D930">
        <v>5.9285714285714297</v>
      </c>
    </row>
    <row r="931" spans="1:4" hidden="1" x14ac:dyDescent="0.3">
      <c r="A931">
        <v>2020</v>
      </c>
      <c r="B931" s="171" t="s">
        <v>121</v>
      </c>
      <c r="C931">
        <v>50</v>
      </c>
      <c r="D931">
        <v>2</v>
      </c>
    </row>
    <row r="932" spans="1:4" hidden="1" x14ac:dyDescent="0.3">
      <c r="A932">
        <v>2020</v>
      </c>
      <c r="B932" s="171" t="s">
        <v>121</v>
      </c>
      <c r="C932">
        <v>55</v>
      </c>
      <c r="D932">
        <v>1</v>
      </c>
    </row>
    <row r="933" spans="1:4" hidden="1" x14ac:dyDescent="0.3">
      <c r="A933">
        <v>2020</v>
      </c>
      <c r="B933" s="171" t="s">
        <v>121</v>
      </c>
      <c r="C933">
        <v>60</v>
      </c>
      <c r="D933">
        <v>2</v>
      </c>
    </row>
    <row r="934" spans="1:4" hidden="1" x14ac:dyDescent="0.3">
      <c r="A934">
        <v>2020</v>
      </c>
      <c r="B934" s="171" t="s">
        <v>121</v>
      </c>
      <c r="C934">
        <v>65</v>
      </c>
      <c r="D934">
        <v>0</v>
      </c>
    </row>
    <row r="935" spans="1:4" hidden="1" x14ac:dyDescent="0.3">
      <c r="A935">
        <v>2020</v>
      </c>
      <c r="B935" s="171" t="s">
        <v>121</v>
      </c>
      <c r="C935">
        <v>70</v>
      </c>
      <c r="D935">
        <v>1</v>
      </c>
    </row>
    <row r="936" spans="1:4" hidden="1" x14ac:dyDescent="0.3">
      <c r="A936">
        <v>2020</v>
      </c>
      <c r="B936" s="171" t="s">
        <v>121</v>
      </c>
      <c r="C936">
        <v>75</v>
      </c>
      <c r="D936">
        <v>1</v>
      </c>
    </row>
    <row r="937" spans="1:4" hidden="1" x14ac:dyDescent="0.3">
      <c r="A937">
        <v>2020</v>
      </c>
      <c r="B937" s="171" t="s">
        <v>121</v>
      </c>
      <c r="C937">
        <v>85</v>
      </c>
      <c r="D937">
        <v>0</v>
      </c>
    </row>
    <row r="938" spans="1:4" hidden="1" x14ac:dyDescent="0.3">
      <c r="A938">
        <v>2022</v>
      </c>
      <c r="B938" s="171" t="s">
        <v>121</v>
      </c>
      <c r="C938">
        <v>1</v>
      </c>
      <c r="D938">
        <v>1.01754385964912</v>
      </c>
    </row>
    <row r="939" spans="1:4" hidden="1" x14ac:dyDescent="0.3">
      <c r="A939">
        <v>2022</v>
      </c>
      <c r="B939" s="171" t="s">
        <v>121</v>
      </c>
      <c r="C939">
        <v>5</v>
      </c>
      <c r="D939">
        <v>0</v>
      </c>
    </row>
    <row r="940" spans="1:4" hidden="1" x14ac:dyDescent="0.3">
      <c r="A940">
        <v>2022</v>
      </c>
      <c r="B940" s="171" t="s">
        <v>121</v>
      </c>
      <c r="C940">
        <v>10</v>
      </c>
      <c r="D940">
        <v>2.0350877192982502</v>
      </c>
    </row>
    <row r="941" spans="1:4" hidden="1" x14ac:dyDescent="0.3">
      <c r="A941">
        <v>2022</v>
      </c>
      <c r="B941" s="171" t="s">
        <v>121</v>
      </c>
      <c r="C941">
        <v>15</v>
      </c>
      <c r="D941">
        <v>5.0877192982456103</v>
      </c>
    </row>
    <row r="942" spans="1:4" hidden="1" x14ac:dyDescent="0.3">
      <c r="A942">
        <v>2022</v>
      </c>
      <c r="B942" s="171" t="s">
        <v>121</v>
      </c>
      <c r="C942">
        <v>20</v>
      </c>
      <c r="D942">
        <v>9.1578947368421009</v>
      </c>
    </row>
    <row r="943" spans="1:4" hidden="1" x14ac:dyDescent="0.3">
      <c r="A943">
        <v>2022</v>
      </c>
      <c r="B943" s="171" t="s">
        <v>121</v>
      </c>
      <c r="C943">
        <v>25</v>
      </c>
      <c r="D943">
        <v>13.228070175438599</v>
      </c>
    </row>
    <row r="944" spans="1:4" hidden="1" x14ac:dyDescent="0.3">
      <c r="A944">
        <v>2022</v>
      </c>
      <c r="B944" s="171" t="s">
        <v>121</v>
      </c>
      <c r="C944">
        <v>30</v>
      </c>
      <c r="D944">
        <v>5.0877192982456103</v>
      </c>
    </row>
    <row r="945" spans="1:4" hidden="1" x14ac:dyDescent="0.3">
      <c r="A945">
        <v>2022</v>
      </c>
      <c r="B945" s="171" t="s">
        <v>121</v>
      </c>
      <c r="C945">
        <v>35</v>
      </c>
      <c r="D945">
        <v>3.0526315789473699</v>
      </c>
    </row>
    <row r="946" spans="1:4" hidden="1" x14ac:dyDescent="0.3">
      <c r="A946">
        <v>2022</v>
      </c>
      <c r="B946" s="171" t="s">
        <v>121</v>
      </c>
      <c r="C946">
        <v>40</v>
      </c>
      <c r="D946">
        <v>5.0877192982456103</v>
      </c>
    </row>
    <row r="947" spans="1:4" hidden="1" x14ac:dyDescent="0.3">
      <c r="A947">
        <v>2022</v>
      </c>
      <c r="B947" s="171" t="s">
        <v>121</v>
      </c>
      <c r="C947">
        <v>45</v>
      </c>
      <c r="D947">
        <v>5.0877192982456103</v>
      </c>
    </row>
    <row r="948" spans="1:4" hidden="1" x14ac:dyDescent="0.3">
      <c r="A948">
        <v>2022</v>
      </c>
      <c r="B948" s="171" t="s">
        <v>121</v>
      </c>
      <c r="C948">
        <v>50</v>
      </c>
      <c r="D948">
        <v>4.0701754385964897</v>
      </c>
    </row>
    <row r="949" spans="1:4" hidden="1" x14ac:dyDescent="0.3">
      <c r="A949">
        <v>2022</v>
      </c>
      <c r="B949" s="171" t="s">
        <v>121</v>
      </c>
      <c r="C949">
        <v>55</v>
      </c>
      <c r="D949">
        <v>1.01754385964912</v>
      </c>
    </row>
    <row r="950" spans="1:4" hidden="1" x14ac:dyDescent="0.3">
      <c r="A950">
        <v>2022</v>
      </c>
      <c r="B950" s="171" t="s">
        <v>121</v>
      </c>
      <c r="C950">
        <v>60</v>
      </c>
      <c r="D950">
        <v>1.01754385964912</v>
      </c>
    </row>
    <row r="951" spans="1:4" hidden="1" x14ac:dyDescent="0.3">
      <c r="A951">
        <v>2022</v>
      </c>
      <c r="B951" s="171" t="s">
        <v>121</v>
      </c>
      <c r="C951">
        <v>65</v>
      </c>
      <c r="D951">
        <v>0</v>
      </c>
    </row>
    <row r="952" spans="1:4" hidden="1" x14ac:dyDescent="0.3">
      <c r="A952">
        <v>2022</v>
      </c>
      <c r="B952" s="171" t="s">
        <v>121</v>
      </c>
      <c r="C952">
        <v>70</v>
      </c>
      <c r="D952">
        <v>3.0526315789473699</v>
      </c>
    </row>
    <row r="953" spans="1:4" hidden="1" x14ac:dyDescent="0.3">
      <c r="A953">
        <v>2022</v>
      </c>
      <c r="B953" s="171" t="s">
        <v>121</v>
      </c>
      <c r="C953">
        <v>75</v>
      </c>
      <c r="D953">
        <v>0</v>
      </c>
    </row>
    <row r="954" spans="1:4" hidden="1" x14ac:dyDescent="0.3">
      <c r="A954">
        <v>2022</v>
      </c>
      <c r="B954" s="171" t="s">
        <v>121</v>
      </c>
      <c r="C954">
        <v>80</v>
      </c>
      <c r="D954">
        <v>0</v>
      </c>
    </row>
    <row r="955" spans="1:4" hidden="1" x14ac:dyDescent="0.3">
      <c r="A955">
        <v>2022</v>
      </c>
      <c r="B955" s="171" t="s">
        <v>121</v>
      </c>
      <c r="C955">
        <v>85</v>
      </c>
      <c r="D95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B0AD2F-B53C-4053-BD13-0CDA002D2B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24</vt:i4>
      </vt:variant>
    </vt:vector>
  </HeadingPairs>
  <TitlesOfParts>
    <vt:vector size="31" baseType="lpstr">
      <vt:lpstr>Introduction</vt:lpstr>
      <vt:lpstr>Coefficients</vt:lpstr>
      <vt:lpstr>Model LTs</vt:lpstr>
      <vt:lpstr>Decrementos Múltiples San Luis </vt:lpstr>
      <vt:lpstr>lt_sl</vt:lpstr>
      <vt:lpstr>def_sl</vt:lpstr>
      <vt:lpstr>def_pro_homicidios_sl</vt:lpstr>
      <vt:lpstr>Coeffs_111</vt:lpstr>
      <vt:lpstr>Coeffs_112</vt:lpstr>
      <vt:lpstr>Coeffs_113</vt:lpstr>
      <vt:lpstr>Coeffs_121</vt:lpstr>
      <vt:lpstr>Coeffs_122</vt:lpstr>
      <vt:lpstr>Coeffs_123</vt:lpstr>
      <vt:lpstr>Coeffs_131</vt:lpstr>
      <vt:lpstr>Coeffs_132</vt:lpstr>
      <vt:lpstr>Coeffs_133</vt:lpstr>
      <vt:lpstr>Coeffs_141</vt:lpstr>
      <vt:lpstr>Coeffs_142</vt:lpstr>
      <vt:lpstr>Coeffs_143</vt:lpstr>
      <vt:lpstr>Coeffs_211</vt:lpstr>
      <vt:lpstr>Coeffs_221</vt:lpstr>
      <vt:lpstr>Coeffs_231</vt:lpstr>
      <vt:lpstr>Coeffs_241</vt:lpstr>
      <vt:lpstr>Coeffs_251</vt:lpstr>
      <vt:lpstr>Family</vt:lpstr>
      <vt:lpstr>FamSelect</vt:lpstr>
      <vt:lpstr>Princeton</vt:lpstr>
      <vt:lpstr>Sex</vt:lpstr>
      <vt:lpstr>TypeSelect</vt:lpstr>
      <vt:lpstr>UN</vt:lpstr>
      <vt:lpstr>Variant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01404747</dc:creator>
  <cp:lastModifiedBy>Ixchel Cortes Lima</cp:lastModifiedBy>
  <dcterms:created xsi:type="dcterms:W3CDTF">2012-05-08T12:24:09Z</dcterms:created>
  <dcterms:modified xsi:type="dcterms:W3CDTF">2025-11-27T03:41:45Z</dcterms:modified>
</cp:coreProperties>
</file>